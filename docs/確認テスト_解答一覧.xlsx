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正解一覧" sheetId="1" state="visible" r:id="rId1"/>
    <sheet xmlns:r="http://schemas.openxmlformats.org/officeDocument/2006/relationships" name="解答・解説" sheetId="2" state="visible" r:id="rId2"/>
    <sheet xmlns:r="http://schemas.openxmlformats.org/officeDocument/2006/relationships" name="振り返りクイズ解答" sheetId="3" state="visible" r:id="rId3"/>
    <sheet xmlns:r="http://schemas.openxmlformats.org/officeDocument/2006/relationships" name="採点表" sheetId="4" state="visible" r:id="rId4"/>
  </sheets>
  <definedNames>
    <definedName name="_xlnm.Print_Titles" localSheetId="1">'解答・解説'!$3:$3</definedName>
    <definedName name="_xlnm.Print_Titles" localSheetId="2">'振り返りクイズ解答'!$3:$3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b val="1"/>
      <sz val="13"/>
    </font>
    <font>
      <b val="1"/>
      <sz val="12"/>
    </font>
    <font>
      <b val="1"/>
      <color rgb="002F7D6D"/>
    </font>
  </fonts>
  <fills count="5">
    <fill>
      <patternFill/>
    </fill>
    <fill>
      <patternFill patternType="gray125"/>
    </fill>
    <fill>
      <patternFill patternType="solid">
        <fgColor rgb="00DDEBE6"/>
      </patternFill>
    </fill>
    <fill>
      <patternFill patternType="solid">
        <fgColor rgb="00FDF3DC"/>
      </patternFill>
    </fill>
    <fill>
      <patternFill patternType="solid">
        <fgColor rgb="00FFFB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3" fillId="3"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xf numFmtId="0" fontId="2" fillId="0" borderId="0" pivotButton="0" quotePrefix="0" xfId="0"/>
    <xf numFmtId="0" fontId="0" fillId="4" borderId="0" pivotButton="0" quotePrefix="0" xfId="0"/>
    <xf numFmtId="0" fontId="5" fillId="0" borderId="1" applyAlignment="1" pivotButton="0" quotePrefix="0" xfId="0">
      <alignment horizontal="center" vertical="center" wrapText="1"/>
    </xf>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c r="A1" s="1" t="inlineStr">
        <is>
          <t>令和8年度　確認テスト 正解一覧（採点用）</t>
        </is>
      </c>
    </row>
    <row r="2">
      <c r="A2" t="inlineStr">
        <is>
          <t>問1〜5は○×、問6〜10はア・イ・ウ。1問1点・10点満点。7点以上が目安です。★は法定研修。</t>
        </is>
      </c>
    </row>
    <row r="4">
      <c r="A4" s="2" t="inlineStr">
        <is>
          <t>月</t>
        </is>
      </c>
      <c r="B4" s="2" t="inlineStr">
        <is>
          <t>研修テーマ</t>
        </is>
      </c>
      <c r="C4" s="2" t="inlineStr">
        <is>
          <t>問1</t>
        </is>
      </c>
      <c r="D4" s="2" t="inlineStr">
        <is>
          <t>問2</t>
        </is>
      </c>
      <c r="E4" s="2" t="inlineStr">
        <is>
          <t>問3</t>
        </is>
      </c>
      <c r="F4" s="2" t="inlineStr">
        <is>
          <t>問4</t>
        </is>
      </c>
      <c r="G4" s="2" t="inlineStr">
        <is>
          <t>問5</t>
        </is>
      </c>
      <c r="H4" s="2" t="inlineStr">
        <is>
          <t>問6</t>
        </is>
      </c>
      <c r="I4" s="2" t="inlineStr">
        <is>
          <t>問7</t>
        </is>
      </c>
      <c r="J4" s="2" t="inlineStr">
        <is>
          <t>問8</t>
        </is>
      </c>
      <c r="K4" s="2" t="inlineStr">
        <is>
          <t>問9</t>
        </is>
      </c>
      <c r="L4" s="2" t="inlineStr">
        <is>
          <t>問10</t>
        </is>
      </c>
    </row>
    <row r="5" ht="30" customHeight="1">
      <c r="A5" s="3" t="inlineStr">
        <is>
          <t>4月</t>
        </is>
      </c>
      <c r="B5" s="4" t="inlineStr">
        <is>
          <t>運営規程・倫理・法令遵守、個人情報保護</t>
        </is>
      </c>
      <c r="C5" s="5" t="inlineStr">
        <is>
          <t>○</t>
        </is>
      </c>
      <c r="D5" s="5" t="inlineStr">
        <is>
          <t>×</t>
        </is>
      </c>
      <c r="E5" s="5" t="inlineStr">
        <is>
          <t>○</t>
        </is>
      </c>
      <c r="F5" s="5" t="inlineStr">
        <is>
          <t>×</t>
        </is>
      </c>
      <c r="G5" s="5" t="inlineStr">
        <is>
          <t>×</t>
        </is>
      </c>
      <c r="H5" s="5" t="inlineStr">
        <is>
          <t>イ</t>
        </is>
      </c>
      <c r="I5" s="5" t="inlineStr">
        <is>
          <t>ウ</t>
        </is>
      </c>
      <c r="J5" s="5" t="inlineStr">
        <is>
          <t>イ</t>
        </is>
      </c>
      <c r="K5" s="5" t="inlineStr">
        <is>
          <t>イ</t>
        </is>
      </c>
      <c r="L5" s="5" t="inlineStr">
        <is>
          <t>ウ</t>
        </is>
      </c>
    </row>
    <row r="6" ht="30" customHeight="1">
      <c r="A6" s="6" t="inlineStr">
        <is>
          <t>5月</t>
        </is>
      </c>
      <c r="B6" s="7" t="inlineStr">
        <is>
          <t>★高齢者虐待防止・身体的拘束等の適正化（第1回）</t>
        </is>
      </c>
      <c r="C6" s="8" t="inlineStr">
        <is>
          <t>○</t>
        </is>
      </c>
      <c r="D6" s="8" t="inlineStr">
        <is>
          <t>○</t>
        </is>
      </c>
      <c r="E6" s="8" t="inlineStr">
        <is>
          <t>×</t>
        </is>
      </c>
      <c r="F6" s="8" t="inlineStr">
        <is>
          <t>○</t>
        </is>
      </c>
      <c r="G6" s="8" t="inlineStr">
        <is>
          <t>×</t>
        </is>
      </c>
      <c r="H6" s="8" t="inlineStr">
        <is>
          <t>イ</t>
        </is>
      </c>
      <c r="I6" s="8" t="inlineStr">
        <is>
          <t>ウ</t>
        </is>
      </c>
      <c r="J6" s="8" t="inlineStr">
        <is>
          <t>ウ</t>
        </is>
      </c>
      <c r="K6" s="8" t="inlineStr">
        <is>
          <t>ア</t>
        </is>
      </c>
      <c r="L6" s="8" t="inlineStr">
        <is>
          <t>ア</t>
        </is>
      </c>
    </row>
    <row r="7" ht="30" customHeight="1">
      <c r="A7" s="6" t="inlineStr">
        <is>
          <t>6月</t>
        </is>
      </c>
      <c r="B7" s="7" t="inlineStr">
        <is>
          <t>★感染症の予防及びまん延防止</t>
        </is>
      </c>
      <c r="C7" s="8" t="inlineStr">
        <is>
          <t>○</t>
        </is>
      </c>
      <c r="D7" s="8" t="inlineStr">
        <is>
          <t>×</t>
        </is>
      </c>
      <c r="E7" s="8" t="inlineStr">
        <is>
          <t>○</t>
        </is>
      </c>
      <c r="F7" s="8" t="inlineStr">
        <is>
          <t>○</t>
        </is>
      </c>
      <c r="G7" s="8" t="inlineStr">
        <is>
          <t>×</t>
        </is>
      </c>
      <c r="H7" s="8" t="inlineStr">
        <is>
          <t>イ</t>
        </is>
      </c>
      <c r="I7" s="8" t="inlineStr">
        <is>
          <t>イ</t>
        </is>
      </c>
      <c r="J7" s="8" t="inlineStr">
        <is>
          <t>イ</t>
        </is>
      </c>
      <c r="K7" s="8" t="inlineStr">
        <is>
          <t>ウ</t>
        </is>
      </c>
      <c r="L7" s="8" t="inlineStr">
        <is>
          <t>イ</t>
        </is>
      </c>
    </row>
    <row r="8" ht="30" customHeight="1">
      <c r="A8" s="6" t="inlineStr">
        <is>
          <t>7月</t>
        </is>
      </c>
      <c r="B8" s="7" t="inlineStr">
        <is>
          <t>★業務継続計画（自然災害）＋訓練</t>
        </is>
      </c>
      <c r="C8" s="8" t="inlineStr">
        <is>
          <t>○</t>
        </is>
      </c>
      <c r="D8" s="8" t="inlineStr">
        <is>
          <t>○</t>
        </is>
      </c>
      <c r="E8" s="8" t="inlineStr">
        <is>
          <t>×</t>
        </is>
      </c>
      <c r="F8" s="8" t="inlineStr">
        <is>
          <t>○</t>
        </is>
      </c>
      <c r="G8" s="8" t="inlineStr">
        <is>
          <t>×</t>
        </is>
      </c>
      <c r="H8" s="8" t="inlineStr">
        <is>
          <t>イ</t>
        </is>
      </c>
      <c r="I8" s="8" t="inlineStr">
        <is>
          <t>イ</t>
        </is>
      </c>
      <c r="J8" s="8" t="inlineStr">
        <is>
          <t>ウ</t>
        </is>
      </c>
      <c r="K8" s="8" t="inlineStr">
        <is>
          <t>ウ</t>
        </is>
      </c>
      <c r="L8" s="8" t="inlineStr">
        <is>
          <t>イ</t>
        </is>
      </c>
    </row>
    <row r="9" ht="30" customHeight="1">
      <c r="A9" s="3" t="inlineStr">
        <is>
          <t>8月</t>
        </is>
      </c>
      <c r="B9" s="4" t="inlineStr">
        <is>
          <t>事故防止・緊急時対応</t>
        </is>
      </c>
      <c r="C9" s="5" t="inlineStr">
        <is>
          <t>○</t>
        </is>
      </c>
      <c r="D9" s="5" t="inlineStr">
        <is>
          <t>×</t>
        </is>
      </c>
      <c r="E9" s="5" t="inlineStr">
        <is>
          <t>○</t>
        </is>
      </c>
      <c r="F9" s="5" t="inlineStr">
        <is>
          <t>○</t>
        </is>
      </c>
      <c r="G9" s="5" t="inlineStr">
        <is>
          <t>×</t>
        </is>
      </c>
      <c r="H9" s="5" t="inlineStr">
        <is>
          <t>イ</t>
        </is>
      </c>
      <c r="I9" s="5" t="inlineStr">
        <is>
          <t>ア</t>
        </is>
      </c>
      <c r="J9" s="5" t="inlineStr">
        <is>
          <t>ウ</t>
        </is>
      </c>
      <c r="K9" s="5" t="inlineStr">
        <is>
          <t>ア</t>
        </is>
      </c>
      <c r="L9" s="5" t="inlineStr">
        <is>
          <t>ウ</t>
        </is>
      </c>
    </row>
    <row r="10" ht="30" customHeight="1">
      <c r="A10" s="3" t="inlineStr">
        <is>
          <t>9月</t>
        </is>
      </c>
      <c r="B10" s="4" t="inlineStr">
        <is>
          <t>ハラスメント対策</t>
        </is>
      </c>
      <c r="C10" s="5" t="inlineStr">
        <is>
          <t>○</t>
        </is>
      </c>
      <c r="D10" s="5" t="inlineStr">
        <is>
          <t>○</t>
        </is>
      </c>
      <c r="E10" s="5" t="inlineStr">
        <is>
          <t>○</t>
        </is>
      </c>
      <c r="F10" s="5" t="inlineStr">
        <is>
          <t>×</t>
        </is>
      </c>
      <c r="G10" s="5" t="inlineStr">
        <is>
          <t>×</t>
        </is>
      </c>
      <c r="H10" s="5" t="inlineStr">
        <is>
          <t>イ</t>
        </is>
      </c>
      <c r="I10" s="5" t="inlineStr">
        <is>
          <t>イ</t>
        </is>
      </c>
      <c r="J10" s="5" t="inlineStr">
        <is>
          <t>ウ</t>
        </is>
      </c>
      <c r="K10" s="5" t="inlineStr">
        <is>
          <t>ウ</t>
        </is>
      </c>
      <c r="L10" s="5" t="inlineStr">
        <is>
          <t>イ</t>
        </is>
      </c>
    </row>
    <row r="11" ht="30" customHeight="1">
      <c r="A11" s="3" t="inlineStr">
        <is>
          <t>10月</t>
        </is>
      </c>
      <c r="B11" s="4" t="inlineStr">
        <is>
          <t>認知症ケア・接遇</t>
        </is>
      </c>
      <c r="C11" s="5" t="inlineStr">
        <is>
          <t>○</t>
        </is>
      </c>
      <c r="D11" s="5" t="inlineStr">
        <is>
          <t>○</t>
        </is>
      </c>
      <c r="E11" s="5" t="inlineStr">
        <is>
          <t>×</t>
        </is>
      </c>
      <c r="F11" s="5" t="inlineStr">
        <is>
          <t>○</t>
        </is>
      </c>
      <c r="G11" s="5" t="inlineStr">
        <is>
          <t>×</t>
        </is>
      </c>
      <c r="H11" s="5" t="inlineStr">
        <is>
          <t>イ</t>
        </is>
      </c>
      <c r="I11" s="5" t="inlineStr">
        <is>
          <t>イ</t>
        </is>
      </c>
      <c r="J11" s="5" t="inlineStr">
        <is>
          <t>イ</t>
        </is>
      </c>
      <c r="K11" s="5" t="inlineStr">
        <is>
          <t>イ</t>
        </is>
      </c>
      <c r="L11" s="5" t="inlineStr">
        <is>
          <t>ウ</t>
        </is>
      </c>
    </row>
    <row r="12" ht="30" customHeight="1">
      <c r="A12" s="6" t="inlineStr">
        <is>
          <t>11月</t>
        </is>
      </c>
      <c r="B12" s="7" t="inlineStr">
        <is>
          <t>★業務継続計画（感染症）＋感染症訓練</t>
        </is>
      </c>
      <c r="C12" s="8" t="inlineStr">
        <is>
          <t>○</t>
        </is>
      </c>
      <c r="D12" s="8" t="inlineStr">
        <is>
          <t>○</t>
        </is>
      </c>
      <c r="E12" s="8" t="inlineStr">
        <is>
          <t>○</t>
        </is>
      </c>
      <c r="F12" s="8" t="inlineStr">
        <is>
          <t>×</t>
        </is>
      </c>
      <c r="G12" s="8" t="inlineStr">
        <is>
          <t>×</t>
        </is>
      </c>
      <c r="H12" s="8" t="inlineStr">
        <is>
          <t>ウ</t>
        </is>
      </c>
      <c r="I12" s="8" t="inlineStr">
        <is>
          <t>ウ</t>
        </is>
      </c>
      <c r="J12" s="8" t="inlineStr">
        <is>
          <t>イ</t>
        </is>
      </c>
      <c r="K12" s="8" t="inlineStr">
        <is>
          <t>イ</t>
        </is>
      </c>
      <c r="L12" s="8" t="inlineStr">
        <is>
          <t>ア</t>
        </is>
      </c>
    </row>
    <row r="13" ht="30" customHeight="1">
      <c r="A13" s="6" t="inlineStr">
        <is>
          <t>12月</t>
        </is>
      </c>
      <c r="B13" s="7" t="inlineStr">
        <is>
          <t>★高齢者虐待防止（第2回）・事例検討</t>
        </is>
      </c>
      <c r="C13" s="8" t="inlineStr">
        <is>
          <t>○</t>
        </is>
      </c>
      <c r="D13" s="8" t="inlineStr">
        <is>
          <t>○</t>
        </is>
      </c>
      <c r="E13" s="8" t="inlineStr">
        <is>
          <t>○</t>
        </is>
      </c>
      <c r="F13" s="8" t="inlineStr">
        <is>
          <t>×</t>
        </is>
      </c>
      <c r="G13" s="8" t="inlineStr">
        <is>
          <t>×</t>
        </is>
      </c>
      <c r="H13" s="8" t="inlineStr">
        <is>
          <t>ウ</t>
        </is>
      </c>
      <c r="I13" s="8" t="inlineStr">
        <is>
          <t>イ</t>
        </is>
      </c>
      <c r="J13" s="8" t="inlineStr">
        <is>
          <t>ウ</t>
        </is>
      </c>
      <c r="K13" s="8" t="inlineStr">
        <is>
          <t>イ</t>
        </is>
      </c>
      <c r="L13" s="8" t="inlineStr">
        <is>
          <t>イ</t>
        </is>
      </c>
    </row>
    <row r="14" ht="30" customHeight="1">
      <c r="A14" s="3" t="inlineStr">
        <is>
          <t>1月</t>
        </is>
      </c>
      <c r="B14" s="4" t="inlineStr">
        <is>
          <t>介護技術・医行為の範囲</t>
        </is>
      </c>
      <c r="C14" s="5" t="inlineStr">
        <is>
          <t>○</t>
        </is>
      </c>
      <c r="D14" s="5" t="inlineStr">
        <is>
          <t>×</t>
        </is>
      </c>
      <c r="E14" s="5" t="inlineStr">
        <is>
          <t>×</t>
        </is>
      </c>
      <c r="F14" s="5" t="inlineStr">
        <is>
          <t>○</t>
        </is>
      </c>
      <c r="G14" s="5" t="inlineStr">
        <is>
          <t>○</t>
        </is>
      </c>
      <c r="H14" s="5" t="inlineStr">
        <is>
          <t>イ</t>
        </is>
      </c>
      <c r="I14" s="5" t="inlineStr">
        <is>
          <t>ア</t>
        </is>
      </c>
      <c r="J14" s="5" t="inlineStr">
        <is>
          <t>イ</t>
        </is>
      </c>
      <c r="K14" s="5" t="inlineStr">
        <is>
          <t>イ</t>
        </is>
      </c>
      <c r="L14" s="5" t="inlineStr">
        <is>
          <t>イ</t>
        </is>
      </c>
    </row>
    <row r="15" ht="30" customHeight="1">
      <c r="A15" s="3" t="inlineStr">
        <is>
          <t>2月</t>
        </is>
      </c>
      <c r="B15" s="4" t="inlineStr">
        <is>
          <t>看取り・プライバシー保護</t>
        </is>
      </c>
      <c r="C15" s="5" t="inlineStr">
        <is>
          <t>○</t>
        </is>
      </c>
      <c r="D15" s="5" t="inlineStr">
        <is>
          <t>×</t>
        </is>
      </c>
      <c r="E15" s="5" t="inlineStr">
        <is>
          <t>○</t>
        </is>
      </c>
      <c r="F15" s="5" t="inlineStr">
        <is>
          <t>○</t>
        </is>
      </c>
      <c r="G15" s="5" t="inlineStr">
        <is>
          <t>×</t>
        </is>
      </c>
      <c r="H15" s="5" t="inlineStr">
        <is>
          <t>ア</t>
        </is>
      </c>
      <c r="I15" s="5" t="inlineStr">
        <is>
          <t>ア</t>
        </is>
      </c>
      <c r="J15" s="5" t="inlineStr">
        <is>
          <t>ア</t>
        </is>
      </c>
      <c r="K15" s="5" t="inlineStr">
        <is>
          <t>イ</t>
        </is>
      </c>
      <c r="L15" s="5" t="inlineStr">
        <is>
          <t>ア</t>
        </is>
      </c>
    </row>
    <row r="16" ht="30" customHeight="1">
      <c r="A16" s="3" t="inlineStr">
        <is>
          <t>3月</t>
        </is>
      </c>
      <c r="B16" s="4" t="inlineStr">
        <is>
          <t>年間振り返り・次年度計画</t>
        </is>
      </c>
      <c r="C16" s="5" t="inlineStr">
        <is>
          <t>○</t>
        </is>
      </c>
      <c r="D16" s="5" t="inlineStr">
        <is>
          <t>○</t>
        </is>
      </c>
      <c r="E16" s="5" t="inlineStr">
        <is>
          <t>×</t>
        </is>
      </c>
      <c r="F16" s="5" t="inlineStr">
        <is>
          <t>○</t>
        </is>
      </c>
      <c r="G16" s="5" t="inlineStr">
        <is>
          <t>×</t>
        </is>
      </c>
      <c r="H16" s="5" t="inlineStr">
        <is>
          <t>ウ</t>
        </is>
      </c>
      <c r="I16" s="5" t="inlineStr">
        <is>
          <t>イ</t>
        </is>
      </c>
      <c r="J16" s="5" t="inlineStr">
        <is>
          <t>ア</t>
        </is>
      </c>
      <c r="K16" s="5" t="inlineStr">
        <is>
          <t>イ</t>
        </is>
      </c>
      <c r="L16" s="5" t="inlineStr">
        <is>
          <t>ア</t>
        </is>
      </c>
    </row>
  </sheetData>
  <pageMargins left="0.5" right="0.5" top="0.6" bottom="0.6"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146"/>
  <sheetViews>
    <sheetView workbookViewId="0">
      <pane ySplit="3" topLeftCell="A4" activePane="bottomLeft" state="frozen"/>
      <selection pane="bottomLeft" activeCell="A1" sqref="A1"/>
    </sheetView>
  </sheetViews>
  <sheetFormatPr baseColWidth="8" defaultRowHeight="15"/>
  <cols>
    <col width="6" customWidth="1" min="1" max="1"/>
    <col width="5" customWidth="1" min="2" max="2"/>
    <col width="6" customWidth="1" min="3" max="3"/>
    <col width="42" customWidth="1" min="4" max="4"/>
    <col width="30" customWidth="1" min="5" max="5"/>
    <col width="7" customWidth="1" min="6" max="6"/>
    <col width="46" customWidth="1" min="7" max="7"/>
  </cols>
  <sheetData>
    <row r="1">
      <c r="A1" s="1" t="inlineStr">
        <is>
          <t>確認テスト 解答・解説（管理者・講師用）</t>
        </is>
      </c>
    </row>
    <row r="3">
      <c r="A3" s="2" t="inlineStr">
        <is>
          <t>月</t>
        </is>
      </c>
      <c r="B3" s="2" t="inlineStr">
        <is>
          <t>問</t>
        </is>
      </c>
      <c r="C3" s="2" t="inlineStr">
        <is>
          <t>形式</t>
        </is>
      </c>
      <c r="D3" s="2" t="inlineStr">
        <is>
          <t>問題</t>
        </is>
      </c>
      <c r="E3" s="2" t="inlineStr">
        <is>
          <t>選択肢</t>
        </is>
      </c>
      <c r="F3" s="2" t="inlineStr">
        <is>
          <t>正解</t>
        </is>
      </c>
      <c r="G3" s="2" t="inlineStr">
        <is>
          <t>解説</t>
        </is>
      </c>
    </row>
    <row r="4">
      <c r="A4" s="9" t="inlineStr">
        <is>
          <t>4月　運営規程・倫理・法令遵守、個人情報保護</t>
        </is>
      </c>
    </row>
    <row r="5">
      <c r="A5" s="3" t="inlineStr">
        <is>
          <t>4月</t>
        </is>
      </c>
      <c r="B5" s="3" t="n">
        <v>1</v>
      </c>
      <c r="C5" s="3" t="inlineStr">
        <is>
          <t>○×</t>
        </is>
      </c>
      <c r="D5" s="10" t="inlineStr">
        <is>
          <t>運営規程には、虐待防止のための措置に関する事項も定められている。</t>
        </is>
      </c>
      <c r="E5" s="10" t="inlineStr"/>
      <c r="F5" s="5" t="inlineStr">
        <is>
          <t>○</t>
        </is>
      </c>
      <c r="G5" s="10" t="inlineStr">
        <is>
          <t>運営規程には事業の目的、利用料、緊急時の対応、虐待防止の措置などが定められています。</t>
        </is>
      </c>
    </row>
    <row r="6">
      <c r="A6" s="3" t="inlineStr">
        <is>
          <t>4月</t>
        </is>
      </c>
      <c r="B6" s="3" t="n">
        <v>2</v>
      </c>
      <c r="C6" s="3" t="inlineStr">
        <is>
          <t>○×</t>
        </is>
      </c>
      <c r="D6" s="10" t="inlineStr">
        <is>
          <t>利用者の名前を伏せれば、利用者宅での出来事をSNSに書いてもよい。</t>
        </is>
      </c>
      <c r="E6" s="10" t="inlineStr"/>
      <c r="F6" s="5" t="inlineStr">
        <is>
          <t>×</t>
        </is>
      </c>
      <c r="G6" s="10" t="inlineStr">
        <is>
          <t>名前を伏せても本人が特定されるおそれがあります。業務上知り得たことはSNSに書きません。</t>
        </is>
      </c>
    </row>
    <row r="7">
      <c r="A7" s="3" t="inlineStr">
        <is>
          <t>4月</t>
        </is>
      </c>
      <c r="B7" s="3" t="n">
        <v>3</v>
      </c>
      <c r="C7" s="3" t="inlineStr">
        <is>
          <t>○×</t>
        </is>
      </c>
      <c r="D7" s="10" t="inlineStr">
        <is>
          <t>訪問介護員は、訪問介護計画とサービス提供手順書に沿って支援する。</t>
        </is>
      </c>
      <c r="E7" s="10" t="inlineStr"/>
      <c r="F7" s="5" t="inlineStr">
        <is>
          <t>○</t>
        </is>
      </c>
      <c r="G7" s="10" t="inlineStr">
        <is>
          <t>計画と手順書がサービス提供の根拠です。</t>
        </is>
      </c>
    </row>
    <row r="8">
      <c r="A8" s="3" t="inlineStr">
        <is>
          <t>4月</t>
        </is>
      </c>
      <c r="B8" s="3" t="n">
        <v>4</v>
      </c>
      <c r="C8" s="3" t="inlineStr">
        <is>
          <t>○×</t>
        </is>
      </c>
      <c r="D8" s="10" t="inlineStr">
        <is>
          <t>利用者宅の写真を、私物のスマートフォンで撮影してよい。</t>
        </is>
      </c>
      <c r="E8" s="10" t="inlineStr"/>
      <c r="F8" s="5" t="inlineStr">
        <is>
          <t>×</t>
        </is>
      </c>
      <c r="G8" s="10" t="inlineStr">
        <is>
          <t>私物の端末での撮影は個人情報漏えいの原因になります。</t>
        </is>
      </c>
    </row>
    <row r="9">
      <c r="A9" s="3" t="inlineStr">
        <is>
          <t>4月</t>
        </is>
      </c>
      <c r="B9" s="3" t="n">
        <v>5</v>
      </c>
      <c r="C9" s="3" t="inlineStr">
        <is>
          <t>○×</t>
        </is>
      </c>
      <c r="D9" s="10" t="inlineStr">
        <is>
          <t>サービス提供記録は「特変なし」とだけ書けば十分である。</t>
        </is>
      </c>
      <c r="E9" s="10" t="inlineStr"/>
      <c r="F9" s="5" t="inlineStr">
        <is>
          <t>×</t>
        </is>
      </c>
      <c r="G9" s="10" t="inlineStr">
        <is>
          <t>食事量、表情、会話など観察したことを具体的に書きます。</t>
        </is>
      </c>
    </row>
    <row r="10">
      <c r="A10" s="3" t="inlineStr">
        <is>
          <t>4月</t>
        </is>
      </c>
      <c r="B10" s="3" t="n">
        <v>6</v>
      </c>
      <c r="C10" s="3" t="inlineStr">
        <is>
          <t>三択</t>
        </is>
      </c>
      <c r="D10" s="10" t="inlineStr">
        <is>
          <t>重要事項説明書について正しいものはどれか。</t>
        </is>
      </c>
      <c r="E10" s="10" t="inlineStr">
        <is>
          <t>ア　契約した後で渡せばよい
イ　契約の前に説明し、同意を得る
ウ　職員だけが見る内部の書類である</t>
        </is>
      </c>
      <c r="F10" s="5" t="inlineStr">
        <is>
          <t>イ</t>
        </is>
      </c>
      <c r="G10" s="10" t="inlineStr">
        <is>
          <t>重要事項説明書は契約前に利用者に説明し、同意を得る書類です。</t>
        </is>
      </c>
    </row>
    <row r="11">
      <c r="A11" s="3" t="inlineStr">
        <is>
          <t>4月</t>
        </is>
      </c>
      <c r="B11" s="3" t="n">
        <v>7</v>
      </c>
      <c r="C11" s="3" t="inlineStr">
        <is>
          <t>三択</t>
        </is>
      </c>
      <c r="D11" s="10" t="inlineStr">
        <is>
          <t>訪問介護計画にない大掃除を頼まれたときの対応はどれか。</t>
        </is>
      </c>
      <c r="E11" s="10" t="inlineStr">
        <is>
          <t>ア　その場で引き受ける
イ　何も言わずに帰る
ウ　サービス提供責任者に相談する</t>
        </is>
      </c>
      <c r="F11" s="5" t="inlineStr">
        <is>
          <t>ウ</t>
        </is>
      </c>
      <c r="G11" s="10" t="inlineStr">
        <is>
          <t>計画にない支援は自己判断で行わず、サービス提供責任者に相談します。</t>
        </is>
      </c>
    </row>
    <row r="12">
      <c r="A12" s="3" t="inlineStr">
        <is>
          <t>4月</t>
        </is>
      </c>
      <c r="B12" s="3" t="n">
        <v>8</v>
      </c>
      <c r="C12" s="3" t="inlineStr">
        <is>
          <t>三択</t>
        </is>
      </c>
      <c r="D12" s="10" t="inlineStr">
        <is>
          <t>守秘義務について正しいものはどれか。</t>
        </is>
      </c>
      <c r="E12" s="10" t="inlineStr">
        <is>
          <t>ア　在職中だけ守ればよい
イ　退職した後も守る
ウ　管理者だけに課される</t>
        </is>
      </c>
      <c r="F12" s="5" t="inlineStr">
        <is>
          <t>イ</t>
        </is>
      </c>
      <c r="G12" s="10" t="inlineStr">
        <is>
          <t>守秘義務は退職後も続きます。</t>
        </is>
      </c>
    </row>
    <row r="13">
      <c r="A13" s="3" t="inlineStr">
        <is>
          <t>4月</t>
        </is>
      </c>
      <c r="B13" s="3" t="n">
        <v>9</v>
      </c>
      <c r="C13" s="3" t="inlineStr">
        <is>
          <t>三択</t>
        </is>
      </c>
      <c r="D13" s="10" t="inlineStr">
        <is>
          <t>記録を書き間違えたときの正しい訂正方法はどれか。</t>
        </is>
      </c>
      <c r="E13" s="10" t="inlineStr">
        <is>
          <t>ア　修正液で消して書き直す
イ　二重線を引き、訂正者名を書く
ウ　黒く塗りつぶす</t>
        </is>
      </c>
      <c r="F13" s="5" t="inlineStr">
        <is>
          <t>イ</t>
        </is>
      </c>
      <c r="G13" s="10" t="inlineStr">
        <is>
          <t>訂正は二重線と訂正者名で行い、元の記載が読めるようにします。</t>
        </is>
      </c>
    </row>
    <row r="14">
      <c r="A14" s="3" t="inlineStr">
        <is>
          <t>4月</t>
        </is>
      </c>
      <c r="B14" s="3" t="n">
        <v>10</v>
      </c>
      <c r="C14" s="3" t="inlineStr">
        <is>
          <t>三択</t>
        </is>
      </c>
      <c r="D14" s="10" t="inlineStr">
        <is>
          <t>介護職の倫理として不適切な行為はどれか。</t>
        </is>
      </c>
      <c r="E14" s="10" t="inlineStr">
        <is>
          <t>ア　利用者を「〇〇さん」と呼ぶ
イ　体調不良のときに報告して訪問を控える
ウ　利用者に頼まれて私的な連絡先を交換する</t>
        </is>
      </c>
      <c r="F14" s="5" t="inlineStr">
        <is>
          <t>ウ</t>
        </is>
      </c>
      <c r="G14" s="10" t="inlineStr">
        <is>
          <t>私的な連絡先の交換や個人的な頼まれごとはしません。</t>
        </is>
      </c>
    </row>
    <row r="16">
      <c r="A16" s="9" t="inlineStr">
        <is>
          <t>5月　★高齢者虐待防止・身体的拘束等の適正化（第1回）</t>
        </is>
      </c>
    </row>
    <row r="17">
      <c r="A17" s="3" t="inlineStr">
        <is>
          <t>5月</t>
        </is>
      </c>
      <c r="B17" s="3" t="n">
        <v>1</v>
      </c>
      <c r="C17" s="3" t="inlineStr">
        <is>
          <t>○×</t>
        </is>
      </c>
      <c r="D17" s="10" t="inlineStr">
        <is>
          <t>高齢者虐待防止法の対象は、65歳以上の高齢者である。</t>
        </is>
      </c>
      <c r="E17" s="10" t="inlineStr"/>
      <c r="F17" s="5" t="inlineStr">
        <is>
          <t>○</t>
        </is>
      </c>
      <c r="G17" s="10" t="inlineStr">
        <is>
          <t>法律上の「高齢者」は65歳以上の人です。</t>
        </is>
      </c>
    </row>
    <row r="18">
      <c r="A18" s="3" t="inlineStr">
        <is>
          <t>5月</t>
        </is>
      </c>
      <c r="B18" s="3" t="n">
        <v>2</v>
      </c>
      <c r="C18" s="3" t="inlineStr">
        <is>
          <t>○×</t>
        </is>
      </c>
      <c r="D18" s="10" t="inlineStr">
        <is>
          <t>時間がないからと必要な排泄介助を省くことは、介護・世話の放棄・放任にあたりうる。</t>
        </is>
      </c>
      <c r="E18" s="10" t="inlineStr"/>
      <c r="F18" s="5" t="inlineStr">
        <is>
          <t>○</t>
        </is>
      </c>
      <c r="G18" s="10" t="inlineStr">
        <is>
          <t>必要な介護をしないことは「介護・世話の放棄・放任」にあたります。</t>
        </is>
      </c>
    </row>
    <row r="19">
      <c r="A19" s="3" t="inlineStr">
        <is>
          <t>5月</t>
        </is>
      </c>
      <c r="B19" s="3" t="n">
        <v>3</v>
      </c>
      <c r="C19" s="3" t="inlineStr">
        <is>
          <t>○×</t>
        </is>
      </c>
      <c r="D19" s="10" t="inlineStr">
        <is>
          <t>虐待の通報は、必ず事業所を通して行わなければならない。</t>
        </is>
      </c>
      <c r="E19" s="10" t="inlineStr"/>
      <c r="F19" s="5" t="inlineStr">
        <is>
          <t>×</t>
        </is>
      </c>
      <c r="G19" s="10" t="inlineStr">
        <is>
          <t>事業所への報告が基本ですが、職員が直接市町村へ通報することも認められています。</t>
        </is>
      </c>
    </row>
    <row r="20">
      <c r="A20" s="3" t="inlineStr">
        <is>
          <t>5月</t>
        </is>
      </c>
      <c r="B20" s="3" t="n">
        <v>4</v>
      </c>
      <c r="C20" s="3" t="inlineStr">
        <is>
          <t>○×</t>
        </is>
      </c>
      <c r="D20" s="10" t="inlineStr">
        <is>
          <t>身体的拘束等を行った場合は、態様・時間・心身の状況・理由を記録する。</t>
        </is>
      </c>
      <c r="E20" s="10" t="inlineStr"/>
      <c r="F20" s="5" t="inlineStr">
        <is>
          <t>○</t>
        </is>
      </c>
      <c r="G20" s="10" t="inlineStr">
        <is>
          <t>令和6年度改定で、訪問介護でも記録が義務づけられました。</t>
        </is>
      </c>
    </row>
    <row r="21">
      <c r="A21" s="3" t="inlineStr">
        <is>
          <t>5月</t>
        </is>
      </c>
      <c r="B21" s="3" t="n">
        <v>5</v>
      </c>
      <c r="C21" s="3" t="inlineStr">
        <is>
          <t>○×</t>
        </is>
      </c>
      <c r="D21" s="10" t="inlineStr">
        <is>
          <t>不適切ケアは、虐待とは関係がない。</t>
        </is>
      </c>
      <c r="E21" s="10" t="inlineStr"/>
      <c r="F21" s="5" t="inlineStr">
        <is>
          <t>×</t>
        </is>
      </c>
      <c r="G21" s="10" t="inlineStr">
        <is>
          <t>虐待は「これくらいなら」という不適切ケアの積み重ねから起こります。</t>
        </is>
      </c>
    </row>
    <row r="22">
      <c r="A22" s="3" t="inlineStr">
        <is>
          <t>5月</t>
        </is>
      </c>
      <c r="B22" s="3" t="n">
        <v>6</v>
      </c>
      <c r="C22" s="3" t="inlineStr">
        <is>
          <t>三択</t>
        </is>
      </c>
      <c r="D22" s="10" t="inlineStr">
        <is>
          <t>経済的虐待にあたるものはどれか。</t>
        </is>
      </c>
      <c r="E22" s="10" t="inlineStr">
        <is>
          <t>ア　利用者を怒鳴る
イ　買い物のおつりを返さない
ウ　おむつを長時間替えない</t>
        </is>
      </c>
      <c r="F22" s="5" t="inlineStr">
        <is>
          <t>イ</t>
        </is>
      </c>
      <c r="G22" s="10" t="inlineStr">
        <is>
          <t>財産を不当に使うことは経済的虐待です。アは心理的虐待、ウは介護・世話の放棄・放任です。</t>
        </is>
      </c>
    </row>
    <row r="23">
      <c r="A23" s="3" t="inlineStr">
        <is>
          <t>5月</t>
        </is>
      </c>
      <c r="B23" s="3" t="n">
        <v>7</v>
      </c>
      <c r="C23" s="3" t="inlineStr">
        <is>
          <t>三択</t>
        </is>
      </c>
      <c r="D23" s="10" t="inlineStr">
        <is>
          <t>身体拘束の例外となる3要件に含まれないものはどれか。</t>
        </is>
      </c>
      <c r="E23" s="10" t="inlineStr">
        <is>
          <t>ア　切迫性
イ　非代替性
ウ　家族の希望</t>
        </is>
      </c>
      <c r="F23" s="5" t="inlineStr">
        <is>
          <t>ウ</t>
        </is>
      </c>
      <c r="G23" s="10" t="inlineStr">
        <is>
          <t>3要件は「切迫性」「非代替性」「一時性」です。家族の希望は要件ではありません。</t>
        </is>
      </c>
    </row>
    <row r="24">
      <c r="A24" s="3" t="inlineStr">
        <is>
          <t>5月</t>
        </is>
      </c>
      <c r="B24" s="3" t="n">
        <v>8</v>
      </c>
      <c r="C24" s="3" t="inlineStr">
        <is>
          <t>三択</t>
        </is>
      </c>
      <c r="D24" s="10" t="inlineStr">
        <is>
          <t>家族がベッド柵で四方を囲んでいることに気づいたときの対応はどれか。</t>
        </is>
      </c>
      <c r="E24" s="10" t="inlineStr">
        <is>
          <t>ア　黙って柵を外す
イ　見なかったことにする
ウ　サービス提供責任者に報告し、ケアマネジャーと連携する</t>
        </is>
      </c>
      <c r="F24" s="5" t="inlineStr">
        <is>
          <t>ウ</t>
        </is>
      </c>
      <c r="G24" s="10" t="inlineStr">
        <is>
          <t>自己判断で外したり見過ごしたりせず、報告して連携します。</t>
        </is>
      </c>
    </row>
    <row r="25">
      <c r="A25" s="3" t="inlineStr">
        <is>
          <t>5月</t>
        </is>
      </c>
      <c r="B25" s="3" t="n">
        <v>9</v>
      </c>
      <c r="C25" s="3" t="inlineStr">
        <is>
          <t>三択</t>
        </is>
      </c>
      <c r="D25" s="10" t="inlineStr">
        <is>
          <t>家族による虐待で、生命・身体に重大な危険が生じている場合はどうするか。</t>
        </is>
      </c>
      <c r="E25" s="10" t="inlineStr">
        <is>
          <t>ア　市町村への通報義務がある
イ　通報してはいけない
ウ　しばらく様子を見る</t>
        </is>
      </c>
      <c r="F25" s="5" t="inlineStr">
        <is>
          <t>ア</t>
        </is>
      </c>
      <c r="G25" s="10" t="inlineStr">
        <is>
          <t>重大な危険が生じている場合は通報義務があります。</t>
        </is>
      </c>
    </row>
    <row r="26">
      <c r="A26" s="3" t="inlineStr">
        <is>
          <t>5月</t>
        </is>
      </c>
      <c r="B26" s="3" t="n">
        <v>10</v>
      </c>
      <c r="C26" s="3" t="inlineStr">
        <is>
          <t>三択</t>
        </is>
      </c>
      <c r="D26" s="10" t="inlineStr">
        <is>
          <t>心理的虐待にあたるものはどれか。</t>
        </is>
      </c>
      <c r="E26" s="10" t="inlineStr">
        <is>
          <t>ア　話しかけを無視する
イ　腕を強く引っ張る
ウ　預金を勝手に使う</t>
        </is>
      </c>
      <c r="F26" s="5" t="inlineStr">
        <is>
          <t>ア</t>
        </is>
      </c>
      <c r="G26" s="10" t="inlineStr">
        <is>
          <t>無視や暴言は心理的虐待です。イは身体的虐待、ウは経済的虐待です。</t>
        </is>
      </c>
    </row>
    <row r="28">
      <c r="A28" s="9" t="inlineStr">
        <is>
          <t>6月　★感染症の予防及びまん延防止</t>
        </is>
      </c>
    </row>
    <row r="29">
      <c r="A29" s="3" t="inlineStr">
        <is>
          <t>6月</t>
        </is>
      </c>
      <c r="B29" s="3" t="n">
        <v>1</v>
      </c>
      <c r="C29" s="3" t="inlineStr">
        <is>
          <t>○×</t>
        </is>
      </c>
      <c r="D29" s="10" t="inlineStr">
        <is>
          <t>訪問介護員は、感染症を利用者宅から別の利用者宅へ運ぶおそれがある。</t>
        </is>
      </c>
      <c r="E29" s="10" t="inlineStr"/>
      <c r="F29" s="5" t="inlineStr">
        <is>
          <t>○</t>
        </is>
      </c>
      <c r="G29" s="10" t="inlineStr">
        <is>
          <t>1日に複数の利用者宅を回るため、感染の媒介になるおそれがあります。</t>
        </is>
      </c>
    </row>
    <row r="30">
      <c r="A30" s="3" t="inlineStr">
        <is>
          <t>6月</t>
        </is>
      </c>
      <c r="B30" s="3" t="n">
        <v>2</v>
      </c>
      <c r="C30" s="3" t="inlineStr">
        <is>
          <t>○×</t>
        </is>
      </c>
      <c r="D30" s="10" t="inlineStr">
        <is>
          <t>石けんでの手洗いは10秒程度で十分である。</t>
        </is>
      </c>
      <c r="E30" s="10" t="inlineStr"/>
      <c r="F30" s="5" t="inlineStr">
        <is>
          <t>×</t>
        </is>
      </c>
      <c r="G30" s="10" t="inlineStr">
        <is>
          <t>30秒以上かけて、指の間、指先・爪、親指、手首まで洗います。</t>
        </is>
      </c>
    </row>
    <row r="31">
      <c r="A31" s="3" t="inlineStr">
        <is>
          <t>6月</t>
        </is>
      </c>
      <c r="B31" s="3" t="n">
        <v>3</v>
      </c>
      <c r="C31" s="3" t="inlineStr">
        <is>
          <t>○×</t>
        </is>
      </c>
      <c r="D31" s="10" t="inlineStr">
        <is>
          <t>手袋は1ケアごとに交換する。</t>
        </is>
      </c>
      <c r="E31" s="10" t="inlineStr"/>
      <c r="F31" s="5" t="inlineStr">
        <is>
          <t>○</t>
        </is>
      </c>
      <c r="G31" s="10" t="inlineStr">
        <is>
          <t>同じ手袋で別のケアをすると感染を広げます。</t>
        </is>
      </c>
    </row>
    <row r="32">
      <c r="A32" s="3" t="inlineStr">
        <is>
          <t>6月</t>
        </is>
      </c>
      <c r="B32" s="3" t="n">
        <v>4</v>
      </c>
      <c r="C32" s="3" t="inlineStr">
        <is>
          <t>○×</t>
        </is>
      </c>
      <c r="D32" s="10" t="inlineStr">
        <is>
          <t>嘔吐物を処理するときは、窓を開けて換気する。</t>
        </is>
      </c>
      <c r="E32" s="10" t="inlineStr"/>
      <c r="F32" s="5" t="inlineStr">
        <is>
          <t>○</t>
        </is>
      </c>
      <c r="G32" s="10" t="inlineStr">
        <is>
          <t>ノロウイルスなどは空気中に舞うことがあるため換気します。</t>
        </is>
      </c>
    </row>
    <row r="33">
      <c r="A33" s="3" t="inlineStr">
        <is>
          <t>6月</t>
        </is>
      </c>
      <c r="B33" s="3" t="n">
        <v>5</v>
      </c>
      <c r="C33" s="3" t="inlineStr">
        <is>
          <t>○×</t>
        </is>
      </c>
      <c r="D33" s="10" t="inlineStr">
        <is>
          <t>結核の主な感染経路は接触感染である。</t>
        </is>
      </c>
      <c r="E33" s="10" t="inlineStr"/>
      <c r="F33" s="5" t="inlineStr">
        <is>
          <t>×</t>
        </is>
      </c>
      <c r="G33" s="10" t="inlineStr">
        <is>
          <t>結核は空気感染します。長引く咳は受診につなげます。</t>
        </is>
      </c>
    </row>
    <row r="34">
      <c r="A34" s="3" t="inlineStr">
        <is>
          <t>6月</t>
        </is>
      </c>
      <c r="B34" s="3" t="n">
        <v>6</v>
      </c>
      <c r="C34" s="3" t="inlineStr">
        <is>
          <t>三択</t>
        </is>
      </c>
      <c r="D34" s="10" t="inlineStr">
        <is>
          <t>標準予防策を行う対象はどれか。</t>
        </is>
      </c>
      <c r="E34" s="10" t="inlineStr">
        <is>
          <t>ア　感染症と診断された利用者だけ
イ　すべての利用者
ウ　発熱のある利用者だけ</t>
        </is>
      </c>
      <c r="F34" s="5" t="inlineStr">
        <is>
          <t>イ</t>
        </is>
      </c>
      <c r="G34" s="10" t="inlineStr">
        <is>
          <t>診断の有無にかかわらず、すべての利用者に行います。</t>
        </is>
      </c>
    </row>
    <row r="35">
      <c r="A35" s="3" t="inlineStr">
        <is>
          <t>6月</t>
        </is>
      </c>
      <c r="B35" s="3" t="n">
        <v>7</v>
      </c>
      <c r="C35" s="3" t="inlineStr">
        <is>
          <t>三択</t>
        </is>
      </c>
      <c r="D35" s="10" t="inlineStr">
        <is>
          <t>ノロウイルスの消毒に有効なものはどれか。</t>
        </is>
      </c>
      <c r="E35" s="10" t="inlineStr">
        <is>
          <t>ア　アルコール
イ　次亜塩素酸ナトリウム
ウ　水拭き</t>
        </is>
      </c>
      <c r="F35" s="5" t="inlineStr">
        <is>
          <t>イ</t>
        </is>
      </c>
      <c r="G35" s="10" t="inlineStr">
        <is>
          <t>ノロウイルスにはアルコールが効きにくく、次亜塩素酸ナトリウムを使います。</t>
        </is>
      </c>
    </row>
    <row r="36">
      <c r="A36" s="3" t="inlineStr">
        <is>
          <t>6月</t>
        </is>
      </c>
      <c r="B36" s="3" t="n">
        <v>8</v>
      </c>
      <c r="C36" s="3" t="inlineStr">
        <is>
          <t>三択</t>
        </is>
      </c>
      <c r="D36" s="10" t="inlineStr">
        <is>
          <t>嘔吐物を処理した床を覆う次亜塩素酸ナトリウム液の濃度はどれか。</t>
        </is>
      </c>
      <c r="E36" s="10" t="inlineStr">
        <is>
          <t>ア　0.01%
イ　0.1%
ウ　1%</t>
        </is>
      </c>
      <c r="F36" s="5" t="inlineStr">
        <is>
          <t>イ</t>
        </is>
      </c>
      <c r="G36" s="10" t="inlineStr">
        <is>
          <t>0.1%の液を浸したペーパーで覆い、約10分置いて拭きます。</t>
        </is>
      </c>
    </row>
    <row r="37">
      <c r="A37" s="3" t="inlineStr">
        <is>
          <t>6月</t>
        </is>
      </c>
      <c r="B37" s="3" t="n">
        <v>9</v>
      </c>
      <c r="C37" s="3" t="inlineStr">
        <is>
          <t>三択</t>
        </is>
      </c>
      <c r="D37" s="10" t="inlineStr">
        <is>
          <t>手洗いの後に手を拭くものとして適切なものはどれか。</t>
        </is>
      </c>
      <c r="E37" s="10" t="inlineStr">
        <is>
          <t>ア　利用者宅のタオル
イ　自分のハンカチ
ウ　使い捨てペーパータオル</t>
        </is>
      </c>
      <c r="F37" s="5" t="inlineStr">
        <is>
          <t>ウ</t>
        </is>
      </c>
      <c r="G37" s="10" t="inlineStr">
        <is>
          <t>タオルの共用は感染の原因になるため、使い捨てペーパータオルを使います。</t>
        </is>
      </c>
    </row>
    <row r="38">
      <c r="A38" s="3" t="inlineStr">
        <is>
          <t>6月</t>
        </is>
      </c>
      <c r="B38" s="3" t="n">
        <v>10</v>
      </c>
      <c r="C38" s="3" t="inlineStr">
        <is>
          <t>三択</t>
        </is>
      </c>
      <c r="D38" s="10" t="inlineStr">
        <is>
          <t>出勤前に発熱していたときの対応はどれか。</t>
        </is>
      </c>
      <c r="E38" s="10" t="inlineStr">
        <is>
          <t>ア　訪問が終わってから報告する
イ　訪問せず管理者に連絡する
ウ　解熱剤を飲んで訪問する</t>
        </is>
      </c>
      <c r="F38" s="5" t="inlineStr">
        <is>
          <t>イ</t>
        </is>
      </c>
      <c r="G38" s="10" t="inlineStr">
        <is>
          <t>発熱・下痢・嘔吐があるときは訪問せず、管理者に連絡します。</t>
        </is>
      </c>
    </row>
    <row r="40">
      <c r="A40" s="9" t="inlineStr">
        <is>
          <t>7月　★業務継続計画（自然災害）＋訓練</t>
        </is>
      </c>
    </row>
    <row r="41">
      <c r="A41" s="3" t="inlineStr">
        <is>
          <t>7月</t>
        </is>
      </c>
      <c r="B41" s="3" t="n">
        <v>1</v>
      </c>
      <c r="C41" s="3" t="inlineStr">
        <is>
          <t>○×</t>
        </is>
      </c>
      <c r="D41" s="10" t="inlineStr">
        <is>
          <t>BCPは、災害時にもサービスを止めない、または早く再開するための計画である。</t>
        </is>
      </c>
      <c r="E41" s="10" t="inlineStr"/>
      <c r="F41" s="5" t="inlineStr">
        <is>
          <t>○</t>
        </is>
      </c>
      <c r="G41" s="10" t="inlineStr">
        <is>
          <t>BCPは業務継続計画のことです。</t>
        </is>
      </c>
    </row>
    <row r="42">
      <c r="A42" s="3" t="inlineStr">
        <is>
          <t>7月</t>
        </is>
      </c>
      <c r="B42" s="3" t="n">
        <v>2</v>
      </c>
      <c r="C42" s="3" t="inlineStr">
        <is>
          <t>○×</t>
        </is>
      </c>
      <c r="D42" s="10" t="inlineStr">
        <is>
          <t>BCPが策定されていない場合、介護報酬が減算される。</t>
        </is>
      </c>
      <c r="E42" s="10" t="inlineStr"/>
      <c r="F42" s="5" t="inlineStr">
        <is>
          <t>○</t>
        </is>
      </c>
      <c r="G42" s="10" t="inlineStr">
        <is>
          <t>業務継続計画未策定減算の対象になります。</t>
        </is>
      </c>
    </row>
    <row r="43">
      <c r="A43" s="3" t="inlineStr">
        <is>
          <t>7月</t>
        </is>
      </c>
      <c r="B43" s="3" t="n">
        <v>3</v>
      </c>
      <c r="C43" s="3" t="inlineStr">
        <is>
          <t>○×</t>
        </is>
      </c>
      <c r="D43" s="10" t="inlineStr">
        <is>
          <t>災害時の利用者の安否確認は、名簿の五十音順に行う。</t>
        </is>
      </c>
      <c r="E43" s="10" t="inlineStr"/>
      <c r="F43" s="5" t="inlineStr">
        <is>
          <t>×</t>
        </is>
      </c>
      <c r="G43" s="10" t="inlineStr">
        <is>
          <t>独居、医療機器使用など優先度の高い利用者から確認します。</t>
        </is>
      </c>
    </row>
    <row r="44">
      <c r="A44" s="3" t="inlineStr">
        <is>
          <t>7月</t>
        </is>
      </c>
      <c r="B44" s="3" t="n">
        <v>4</v>
      </c>
      <c r="C44" s="3" t="inlineStr">
        <is>
          <t>○×</t>
        </is>
      </c>
      <c r="D44" s="10" t="inlineStr">
        <is>
          <t>夏季に停電が起きたときは、熱中症に注意する。</t>
        </is>
      </c>
      <c r="E44" s="10" t="inlineStr"/>
      <c r="F44" s="5" t="inlineStr">
        <is>
          <t>○</t>
        </is>
      </c>
      <c r="G44" s="10" t="inlineStr">
        <is>
          <t>水分補給と涼しい場所の確保を優先します。</t>
        </is>
      </c>
    </row>
    <row r="45">
      <c r="A45" s="3" t="inlineStr">
        <is>
          <t>7月</t>
        </is>
      </c>
      <c r="B45" s="3" t="n">
        <v>5</v>
      </c>
      <c r="C45" s="3" t="inlineStr">
        <is>
          <t>○×</t>
        </is>
      </c>
      <c r="D45" s="10" t="inlineStr">
        <is>
          <t>訪問中に地震が起きたら、揺れている最中でもすぐに火を消しに行く。</t>
        </is>
      </c>
      <c r="E45" s="10" t="inlineStr"/>
      <c r="F45" s="5" t="inlineStr">
        <is>
          <t>×</t>
        </is>
      </c>
      <c r="G45" s="10" t="inlineStr">
        <is>
          <t>まず身を守り、揺れが収まってから火を消します。</t>
        </is>
      </c>
    </row>
    <row r="46">
      <c r="A46" s="3" t="inlineStr">
        <is>
          <t>7月</t>
        </is>
      </c>
      <c r="B46" s="3" t="n">
        <v>6</v>
      </c>
      <c r="C46" s="3" t="inlineStr">
        <is>
          <t>三択</t>
        </is>
      </c>
      <c r="D46" s="10" t="inlineStr">
        <is>
          <t>発災時に最初に行うことはどれか。</t>
        </is>
      </c>
      <c r="E46" s="10" t="inlineStr">
        <is>
          <t>ア　事業所へ報告する
イ　自分と利用者の安全を確保する
ウ　ケアマネジャーに連絡する</t>
        </is>
      </c>
      <c r="F46" s="5" t="inlineStr">
        <is>
          <t>イ</t>
        </is>
      </c>
      <c r="G46" s="10" t="inlineStr">
        <is>
          <t>まず身を守り、安全を確保してから報告します。</t>
        </is>
      </c>
    </row>
    <row r="47">
      <c r="A47" s="3" t="inlineStr">
        <is>
          <t>7月</t>
        </is>
      </c>
      <c r="B47" s="3" t="n">
        <v>7</v>
      </c>
      <c r="C47" s="3" t="inlineStr">
        <is>
          <t>三択</t>
        </is>
      </c>
      <c r="D47" s="10" t="inlineStr">
        <is>
          <t>災害用伝言ダイヤルの番号はどれか。</t>
        </is>
      </c>
      <c r="E47" s="10" t="inlineStr">
        <is>
          <t>ア　110
イ　171
ウ　177</t>
        </is>
      </c>
      <c r="F47" s="5" t="inlineStr">
        <is>
          <t>イ</t>
        </is>
      </c>
      <c r="G47" s="10" t="inlineStr">
        <is>
          <t>災害用伝言ダイヤルは171です。</t>
        </is>
      </c>
    </row>
    <row r="48">
      <c r="A48" s="3" t="inlineStr">
        <is>
          <t>7月</t>
        </is>
      </c>
      <c r="B48" s="3" t="n">
        <v>8</v>
      </c>
      <c r="C48" s="3" t="inlineStr">
        <is>
          <t>三択</t>
        </is>
      </c>
      <c r="D48" s="10" t="inlineStr">
        <is>
          <t>出勤できる職員が半分になったとき、優先するサービスはどれか。</t>
        </is>
      </c>
      <c r="E48" s="10" t="inlineStr">
        <is>
          <t>ア　掃除
イ　買い物
ウ　排泄・食事・服薬・安否確認</t>
        </is>
      </c>
      <c r="F48" s="5" t="inlineStr">
        <is>
          <t>ウ</t>
        </is>
      </c>
      <c r="G48" s="10" t="inlineStr">
        <is>
          <t>生命と生活に欠かせない業務に絞って提供します。</t>
        </is>
      </c>
    </row>
    <row r="49">
      <c r="A49" s="3" t="inlineStr">
        <is>
          <t>7月</t>
        </is>
      </c>
      <c r="B49" s="3" t="n">
        <v>9</v>
      </c>
      <c r="C49" s="3" t="inlineStr">
        <is>
          <t>三択</t>
        </is>
      </c>
      <c r="D49" s="10" t="inlineStr">
        <is>
          <t>平時の備えとして適切でないものはどれか。</t>
        </is>
      </c>
      <c r="E49" s="10" t="inlineStr">
        <is>
          <t>ア　緊急連絡網を確認する
イ　利用者の優先度リストを作る
ウ　備蓄は災害が起きてから買う</t>
        </is>
      </c>
      <c r="F49" s="5" t="inlineStr">
        <is>
          <t>ウ</t>
        </is>
      </c>
      <c r="G49" s="10" t="inlineStr">
        <is>
          <t>水、食料、懐中電灯などは平時から備蓄しておきます。</t>
        </is>
      </c>
    </row>
    <row r="50">
      <c r="A50" s="3" t="inlineStr">
        <is>
          <t>7月</t>
        </is>
      </c>
      <c r="B50" s="3" t="n">
        <v>10</v>
      </c>
      <c r="C50" s="3" t="inlineStr">
        <is>
          <t>三択</t>
        </is>
      </c>
      <c r="D50" s="10" t="inlineStr">
        <is>
          <t>警報発表時に訪問を中止するかどうかは、誰が決めるか。</t>
        </is>
      </c>
      <c r="E50" s="10" t="inlineStr">
        <is>
          <t>ア　各職員がそれぞれ判断する
イ　管理者が判断基準を決めて周知する
ウ　利用者が決める</t>
        </is>
      </c>
      <c r="F50" s="5" t="inlineStr">
        <is>
          <t>イ</t>
        </is>
      </c>
      <c r="G50" s="10" t="inlineStr">
        <is>
          <t>判断基準は管理者が決定し、全員に周知します。</t>
        </is>
      </c>
    </row>
    <row r="52">
      <c r="A52" s="9" t="inlineStr">
        <is>
          <t>8月　事故防止・緊急時対応</t>
        </is>
      </c>
    </row>
    <row r="53">
      <c r="A53" s="3" t="inlineStr">
        <is>
          <t>8月</t>
        </is>
      </c>
      <c r="B53" s="3" t="n">
        <v>1</v>
      </c>
      <c r="C53" s="3" t="inlineStr">
        <is>
          <t>○×</t>
        </is>
      </c>
      <c r="D53" s="10" t="inlineStr">
        <is>
          <t>ヒヤリハットを報告・共有することは、事故防止につながる。</t>
        </is>
      </c>
      <c r="E53" s="10" t="inlineStr"/>
      <c r="F53" s="5" t="inlineStr">
        <is>
          <t>○</t>
        </is>
      </c>
      <c r="G53" s="10" t="inlineStr">
        <is>
          <t>重大事故の背景には多くのヒヤリハットがあります。</t>
        </is>
      </c>
    </row>
    <row r="54">
      <c r="A54" s="3" t="inlineStr">
        <is>
          <t>8月</t>
        </is>
      </c>
      <c r="B54" s="3" t="n">
        <v>2</v>
      </c>
      <c r="C54" s="3" t="inlineStr">
        <is>
          <t>○×</t>
        </is>
      </c>
      <c r="D54" s="10" t="inlineStr">
        <is>
          <t>食事介助では、一口量を多めにして早く終わらせる。</t>
        </is>
      </c>
      <c r="E54" s="10" t="inlineStr"/>
      <c r="F54" s="5" t="inlineStr">
        <is>
          <t>×</t>
        </is>
      </c>
      <c r="G54" s="10" t="inlineStr">
        <is>
          <t>一口量は少なく、飲み込んだことを確認してから次を入れます。</t>
        </is>
      </c>
    </row>
    <row r="55">
      <c r="A55" s="3" t="inlineStr">
        <is>
          <t>8月</t>
        </is>
      </c>
      <c r="B55" s="3" t="n">
        <v>3</v>
      </c>
      <c r="C55" s="3" t="inlineStr">
        <is>
          <t>○×</t>
        </is>
      </c>
      <c r="D55" s="10" t="inlineStr">
        <is>
          <t>移乗介助の前に、床が濡れていないかを確認する。</t>
        </is>
      </c>
      <c r="E55" s="10" t="inlineStr"/>
      <c r="F55" s="5" t="inlineStr">
        <is>
          <t>○</t>
        </is>
      </c>
      <c r="G55" s="10" t="inlineStr">
        <is>
          <t>ブレーキ、足の位置、床の濡れを確認します。</t>
        </is>
      </c>
    </row>
    <row r="56">
      <c r="A56" s="3" t="inlineStr">
        <is>
          <t>8月</t>
        </is>
      </c>
      <c r="B56" s="3" t="n">
        <v>4</v>
      </c>
      <c r="C56" s="3" t="inlineStr">
        <is>
          <t>○×</t>
        </is>
      </c>
      <c r="D56" s="10" t="inlineStr">
        <is>
          <t>利用者宅の鍵の受け渡しは記録する。</t>
        </is>
      </c>
      <c r="E56" s="10" t="inlineStr"/>
      <c r="F56" s="5" t="inlineStr">
        <is>
          <t>○</t>
        </is>
      </c>
      <c r="G56" s="10" t="inlineStr">
        <is>
          <t>鍵の紛失を防ぐため、事業所のルールに従い記録します。</t>
        </is>
      </c>
    </row>
    <row r="57">
      <c r="A57" s="3" t="inlineStr">
        <is>
          <t>8月</t>
        </is>
      </c>
      <c r="B57" s="3" t="n">
        <v>5</v>
      </c>
      <c r="C57" s="3" t="inlineStr">
        <is>
          <t>○×</t>
        </is>
      </c>
      <c r="D57" s="10" t="inlineStr">
        <is>
          <t>事故報告書は、職員を処分するために作成する。</t>
        </is>
      </c>
      <c r="E57" s="10" t="inlineStr"/>
      <c r="F57" s="5" t="inlineStr">
        <is>
          <t>×</t>
        </is>
      </c>
      <c r="G57" s="10" t="inlineStr">
        <is>
          <t>原因を分析し、再発防止策を共有するために作成します。</t>
        </is>
      </c>
    </row>
    <row r="58">
      <c r="A58" s="3" t="inlineStr">
        <is>
          <t>8月</t>
        </is>
      </c>
      <c r="B58" s="3" t="n">
        <v>6</v>
      </c>
      <c r="C58" s="3" t="inlineStr">
        <is>
          <t>三択</t>
        </is>
      </c>
      <c r="D58" s="10" t="inlineStr">
        <is>
          <t>呼びかけに反応がなく、呼吸がおかしいときの対応はどれか。</t>
        </is>
      </c>
      <c r="E58" s="10" t="inlineStr">
        <is>
          <t>ア　事業所に電話して指示を待つ
イ　119番通報し、AEDの使用や胸骨圧迫を行う
ウ　家族の帰りを待つ</t>
        </is>
      </c>
      <c r="F58" s="5" t="inlineStr">
        <is>
          <t>イ</t>
        </is>
      </c>
      <c r="G58" s="10" t="inlineStr">
        <is>
          <t>命に関わる状況では、まず119番通報と救命処置を行います。</t>
        </is>
      </c>
    </row>
    <row r="59">
      <c r="A59" s="3" t="inlineStr">
        <is>
          <t>8月</t>
        </is>
      </c>
      <c r="B59" s="3" t="n">
        <v>7</v>
      </c>
      <c r="C59" s="3" t="inlineStr">
        <is>
          <t>三択</t>
        </is>
      </c>
      <c r="D59" s="10" t="inlineStr">
        <is>
          <t>119番通報で最初に伝えることはどれか。</t>
        </is>
      </c>
      <c r="E59" s="10" t="inlineStr">
        <is>
          <t>ア　「救急です」
イ　事業所の名前
ウ　自分の名前</t>
        </is>
      </c>
      <c r="F59" s="5" t="inlineStr">
        <is>
          <t>ア</t>
        </is>
      </c>
      <c r="G59" s="10" t="inlineStr">
        <is>
          <t>「救急です」と伝え、住所、状態、行った処置を伝えます。</t>
        </is>
      </c>
    </row>
    <row r="60">
      <c r="A60" s="3" t="inlineStr">
        <is>
          <t>8月</t>
        </is>
      </c>
      <c r="B60" s="3" t="n">
        <v>8</v>
      </c>
      <c r="C60" s="3" t="inlineStr">
        <is>
          <t>三択</t>
        </is>
      </c>
      <c r="D60" s="10" t="inlineStr">
        <is>
          <t>服薬介助で確認しなくてよいものはどれか。</t>
        </is>
      </c>
      <c r="E60" s="10" t="inlineStr">
        <is>
          <t>ア　名前
イ　日付と時間
ウ　薬の値段</t>
        </is>
      </c>
      <c r="F60" s="5" t="inlineStr">
        <is>
          <t>ウ</t>
        </is>
      </c>
      <c r="G60" s="10" t="inlineStr">
        <is>
          <t>名前・日付・時間を声に出して確認します。</t>
        </is>
      </c>
    </row>
    <row r="61">
      <c r="A61" s="3" t="inlineStr">
        <is>
          <t>8月</t>
        </is>
      </c>
      <c r="B61" s="3" t="n">
        <v>9</v>
      </c>
      <c r="C61" s="3" t="inlineStr">
        <is>
          <t>三択</t>
        </is>
      </c>
      <c r="D61" s="10" t="inlineStr">
        <is>
          <t>事故が起きたとき、事業所が連絡する先として正しいものはどれか。</t>
        </is>
      </c>
      <c r="E61" s="10" t="inlineStr">
        <is>
          <t>ア　家族、ケアマネジャー、市町村
イ　警察だけ
ウ　どこにも連絡しない</t>
        </is>
      </c>
      <c r="F61" s="5" t="inlineStr">
        <is>
          <t>ア</t>
        </is>
      </c>
      <c r="G61" s="10" t="inlineStr">
        <is>
          <t>運営基準により、家族、ケアマネジャー、市町村へ連絡します。</t>
        </is>
      </c>
    </row>
    <row r="62">
      <c r="A62" s="3" t="inlineStr">
        <is>
          <t>8月</t>
        </is>
      </c>
      <c r="B62" s="3" t="n">
        <v>10</v>
      </c>
      <c r="C62" s="3" t="inlineStr">
        <is>
          <t>三択</t>
        </is>
      </c>
      <c r="D62" s="10" t="inlineStr">
        <is>
          <t>訪問しても応答がないときの対応はどれか。</t>
        </is>
      </c>
      <c r="E62" s="10" t="inlineStr">
        <is>
          <t>ア　合鍵で中に入る
イ　そのまま帰る
ウ　事業所に連絡し、家族やケアマネジャーに確認する</t>
        </is>
      </c>
      <c r="F62" s="5" t="inlineStr">
        <is>
          <t>ウ</t>
        </is>
      </c>
      <c r="G62" s="10" t="inlineStr">
        <is>
          <t>勝手に入らず、事業所に連絡して指示を受けます。</t>
        </is>
      </c>
    </row>
    <row r="64">
      <c r="A64" s="9" t="inlineStr">
        <is>
          <t>9月　ハラスメント対策</t>
        </is>
      </c>
    </row>
    <row r="65">
      <c r="A65" s="3" t="inlineStr">
        <is>
          <t>9月</t>
        </is>
      </c>
      <c r="B65" s="3" t="n">
        <v>1</v>
      </c>
      <c r="C65" s="3" t="inlineStr">
        <is>
          <t>○×</t>
        </is>
      </c>
      <c r="D65" s="10" t="inlineStr">
        <is>
          <t>事業所には、職場のハラスメントを防ぐ方針の明確化と相談体制の整備が求められている。</t>
        </is>
      </c>
      <c r="E65" s="10" t="inlineStr"/>
      <c r="F65" s="5" t="inlineStr">
        <is>
          <t>○</t>
        </is>
      </c>
      <c r="G65" s="10" t="inlineStr">
        <is>
          <t>運営基準で定められています。</t>
        </is>
      </c>
    </row>
    <row r="66">
      <c r="A66" s="3" t="inlineStr">
        <is>
          <t>9月</t>
        </is>
      </c>
      <c r="B66" s="3" t="n">
        <v>2</v>
      </c>
      <c r="C66" s="3" t="inlineStr">
        <is>
          <t>○×</t>
        </is>
      </c>
      <c r="D66" s="10" t="inlineStr">
        <is>
          <t>利用者宅で身の危険を感じたら、その場を離れてよい。</t>
        </is>
      </c>
      <c r="E66" s="10" t="inlineStr"/>
      <c r="F66" s="5" t="inlineStr">
        <is>
          <t>○</t>
        </is>
      </c>
      <c r="G66" s="10" t="inlineStr">
        <is>
          <t>職員の安全を最優先にします。</t>
        </is>
      </c>
    </row>
    <row r="67">
      <c r="A67" s="3" t="inlineStr">
        <is>
          <t>9月</t>
        </is>
      </c>
      <c r="B67" s="3" t="n">
        <v>3</v>
      </c>
      <c r="C67" s="3" t="inlineStr">
        <is>
          <t>○×</t>
        </is>
      </c>
      <c r="D67" s="10" t="inlineStr">
        <is>
          <t>認知症の症状による言動であっても、職員の安全確保は必要である。</t>
        </is>
      </c>
      <c r="E67" s="10" t="inlineStr"/>
      <c r="F67" s="5" t="inlineStr">
        <is>
          <t>○</t>
        </is>
      </c>
      <c r="G67" s="10" t="inlineStr">
        <is>
          <t>ケアの方法をチームで検討しつつ、安全確保も行います。</t>
        </is>
      </c>
    </row>
    <row r="68">
      <c r="A68" s="3" t="inlineStr">
        <is>
          <t>9月</t>
        </is>
      </c>
      <c r="B68" s="3" t="n">
        <v>4</v>
      </c>
      <c r="C68" s="3" t="inlineStr">
        <is>
          <t>○×</t>
        </is>
      </c>
      <c r="D68" s="10" t="inlineStr">
        <is>
          <t>常勤職員が登録ヘルパーに強い口調で命令するのは、立場上問題ない。</t>
        </is>
      </c>
      <c r="E68" s="10" t="inlineStr"/>
      <c r="F68" s="5" t="inlineStr">
        <is>
          <t>×</t>
        </is>
      </c>
      <c r="G68" s="10" t="inlineStr">
        <is>
          <t>立場の違いを意識し、言葉遣いに気をつけます。パワーハラスメントにあたるおそれがあります。</t>
        </is>
      </c>
    </row>
    <row r="69">
      <c r="A69" s="3" t="inlineStr">
        <is>
          <t>9月</t>
        </is>
      </c>
      <c r="B69" s="3" t="n">
        <v>5</v>
      </c>
      <c r="C69" s="3" t="inlineStr">
        <is>
          <t>○×</t>
        </is>
      </c>
      <c r="D69" s="10" t="inlineStr">
        <is>
          <t>ハラスメントを受けても、記録を残す必要はない。</t>
        </is>
      </c>
      <c r="E69" s="10" t="inlineStr"/>
      <c r="F69" s="5" t="inlineStr">
        <is>
          <t>×</t>
        </is>
      </c>
      <c r="G69" s="10" t="inlineStr">
        <is>
          <t>日時・場所・言動の内容を記録します。</t>
        </is>
      </c>
    </row>
    <row r="70">
      <c r="A70" s="3" t="inlineStr">
        <is>
          <t>9月</t>
        </is>
      </c>
      <c r="B70" s="3" t="n">
        <v>6</v>
      </c>
      <c r="C70" s="3" t="inlineStr">
        <is>
          <t>三択</t>
        </is>
      </c>
      <c r="D70" s="10" t="inlineStr">
        <is>
          <t>利用者・家族からの精神的暴力にあたるものはどれか。</t>
        </is>
      </c>
      <c r="E70" s="10" t="inlineStr">
        <is>
          <t>ア　物を投げつける
イ　人格を否定する
ウ　身体を触る</t>
        </is>
      </c>
      <c r="F70" s="5" t="inlineStr">
        <is>
          <t>イ</t>
        </is>
      </c>
      <c r="G70" s="10" t="inlineStr">
        <is>
          <t>アは身体的暴力、ウはセクシュアルハラスメントです。</t>
        </is>
      </c>
    </row>
    <row r="71">
      <c r="A71" s="3" t="inlineStr">
        <is>
          <t>9月</t>
        </is>
      </c>
      <c r="B71" s="3" t="n">
        <v>7</v>
      </c>
      <c r="C71" s="3" t="inlineStr">
        <is>
          <t>三択</t>
        </is>
      </c>
      <c r="D71" s="10" t="inlineStr">
        <is>
          <t>不当な要求にあたるものはどれか。</t>
        </is>
      </c>
      <c r="E71" s="10" t="inlineStr">
        <is>
          <t>ア　計画どおりの調理を頼まれる
イ　契約外の家事を繰り返し求められる
ウ　体調について相談される</t>
        </is>
      </c>
      <c r="F71" s="5" t="inlineStr">
        <is>
          <t>イ</t>
        </is>
      </c>
      <c r="G71" s="10" t="inlineStr">
        <is>
          <t>契約外のサービスの繰り返しの要求は不当な要求にあたりえます。</t>
        </is>
      </c>
    </row>
    <row r="72">
      <c r="A72" s="3" t="inlineStr">
        <is>
          <t>9月</t>
        </is>
      </c>
      <c r="B72" s="3" t="n">
        <v>8</v>
      </c>
      <c r="C72" s="3" t="inlineStr">
        <is>
          <t>三択</t>
        </is>
      </c>
      <c r="D72" s="10" t="inlineStr">
        <is>
          <t>ハラスメントを受けたときの対応はどれか。</t>
        </is>
      </c>
      <c r="E72" s="10" t="inlineStr">
        <is>
          <t>ア　我慢して誰にも言わない
イ　同僚にだけ話す
ウ　サービス提供責任者や管理者に報告し、記録する</t>
        </is>
      </c>
      <c r="F72" s="5" t="inlineStr">
        <is>
          <t>ウ</t>
        </is>
      </c>
      <c r="G72" s="10" t="inlineStr">
        <is>
          <t>一人で抱え込まず、早めに報告します。</t>
        </is>
      </c>
    </row>
    <row r="73">
      <c r="A73" s="3" t="inlineStr">
        <is>
          <t>9月</t>
        </is>
      </c>
      <c r="B73" s="3" t="n">
        <v>9</v>
      </c>
      <c r="C73" s="3" t="inlineStr">
        <is>
          <t>三択</t>
        </is>
      </c>
      <c r="D73" s="10" t="inlineStr">
        <is>
          <t>事業所の対応として適切でないものはどれか。</t>
        </is>
      </c>
      <c r="E73" s="10" t="inlineStr">
        <is>
          <t>ア　担当を変更する
イ　2人で訪問する
ウ　被害を受けた職員の給与を減らす</t>
        </is>
      </c>
      <c r="F73" s="5" t="inlineStr">
        <is>
          <t>ウ</t>
        </is>
      </c>
      <c r="G73" s="10" t="inlineStr">
        <is>
          <t>相談したことを理由に不利益な扱いをすることは禁止されています。</t>
        </is>
      </c>
    </row>
    <row r="74">
      <c r="A74" s="3" t="inlineStr">
        <is>
          <t>9月</t>
        </is>
      </c>
      <c r="B74" s="3" t="n">
        <v>10</v>
      </c>
      <c r="C74" s="3" t="inlineStr">
        <is>
          <t>三択</t>
        </is>
      </c>
      <c r="D74" s="10" t="inlineStr">
        <is>
          <t>同僚への指導として望ましいものはどれか。</t>
        </is>
      </c>
      <c r="E74" s="10" t="inlineStr">
        <is>
          <t>ア　人格を否定する
イ　行動について具体的に伝える
ウ　無視する</t>
        </is>
      </c>
      <c r="F74" s="5" t="inlineStr">
        <is>
          <t>イ</t>
        </is>
      </c>
      <c r="G74" s="10" t="inlineStr">
        <is>
          <t>人格ではなく行動について、具体的に伝えます。</t>
        </is>
      </c>
    </row>
    <row r="76">
      <c r="A76" s="9" t="inlineStr">
        <is>
          <t>10月　認知症ケア・接遇</t>
        </is>
      </c>
    </row>
    <row r="77">
      <c r="A77" s="3" t="inlineStr">
        <is>
          <t>10月</t>
        </is>
      </c>
      <c r="B77" s="3" t="n">
        <v>1</v>
      </c>
      <c r="C77" s="3" t="inlineStr">
        <is>
          <t>○×</t>
        </is>
      </c>
      <c r="D77" s="10" t="inlineStr">
        <is>
          <t>記憶障害は、認知症の中核症状の一つである。</t>
        </is>
      </c>
      <c r="E77" s="10" t="inlineStr"/>
      <c r="F77" s="5" t="inlineStr">
        <is>
          <t>○</t>
        </is>
      </c>
      <c r="G77" s="10" t="inlineStr">
        <is>
          <t>中核症状には記憶障害、見当識障害、判断力の低下などがあります。</t>
        </is>
      </c>
    </row>
    <row r="78">
      <c r="A78" s="3" t="inlineStr">
        <is>
          <t>10月</t>
        </is>
      </c>
      <c r="B78" s="3" t="n">
        <v>2</v>
      </c>
      <c r="C78" s="3" t="inlineStr">
        <is>
          <t>○×</t>
        </is>
      </c>
      <c r="D78" s="10" t="inlineStr">
        <is>
          <t>BPSDは「本人が困っているサイン」と考える。</t>
        </is>
      </c>
      <c r="E78" s="10" t="inlineStr"/>
      <c r="F78" s="5" t="inlineStr">
        <is>
          <t>○</t>
        </is>
      </c>
      <c r="G78" s="10" t="inlineStr">
        <is>
          <t>BPSDには不安や体調などの理由があります。</t>
        </is>
      </c>
    </row>
    <row r="79">
      <c r="A79" s="3" t="inlineStr">
        <is>
          <t>10月</t>
        </is>
      </c>
      <c r="B79" s="3" t="n">
        <v>3</v>
      </c>
      <c r="C79" s="3" t="inlineStr">
        <is>
          <t>○×</t>
        </is>
      </c>
      <c r="D79" s="10" t="inlineStr">
        <is>
          <t>同じ質問を繰り返されたら「さっきも言いましたよ」と伝える。</t>
        </is>
      </c>
      <c r="E79" s="10" t="inlineStr"/>
      <c r="F79" s="5" t="inlineStr">
        <is>
          <t>×</t>
        </is>
      </c>
      <c r="G79" s="10" t="inlineStr">
        <is>
          <t>初めて聞かれたように答え、メモやカレンダーを活用します。</t>
        </is>
      </c>
    </row>
    <row r="80">
      <c r="A80" s="3" t="inlineStr">
        <is>
          <t>10月</t>
        </is>
      </c>
      <c r="B80" s="3" t="n">
        <v>4</v>
      </c>
      <c r="C80" s="3" t="inlineStr">
        <is>
          <t>○×</t>
        </is>
      </c>
      <c r="D80" s="10" t="inlineStr">
        <is>
          <t>便秘や脱水などの体の不調が、BPSDの原因になることがある。</t>
        </is>
      </c>
      <c r="E80" s="10" t="inlineStr"/>
      <c r="F80" s="5" t="inlineStr">
        <is>
          <t>○</t>
        </is>
      </c>
      <c r="G80" s="10" t="inlineStr">
        <is>
          <t>体の不調がないか観察し、報告します。</t>
        </is>
      </c>
    </row>
    <row r="81">
      <c r="A81" s="3" t="inlineStr">
        <is>
          <t>10月</t>
        </is>
      </c>
      <c r="B81" s="3" t="n">
        <v>5</v>
      </c>
      <c r="C81" s="3" t="inlineStr">
        <is>
          <t>○×</t>
        </is>
      </c>
      <c r="D81" s="10" t="inlineStr">
        <is>
          <t>家族がいるときは、利用者ではなく家族に向かって話す。</t>
        </is>
      </c>
      <c r="E81" s="10" t="inlineStr"/>
      <c r="F81" s="5" t="inlineStr">
        <is>
          <t>×</t>
        </is>
      </c>
      <c r="G81" s="10" t="inlineStr">
        <is>
          <t>家族の前でも利用者本人に向かって話します。</t>
        </is>
      </c>
    </row>
    <row r="82">
      <c r="A82" s="3" t="inlineStr">
        <is>
          <t>10月</t>
        </is>
      </c>
      <c r="B82" s="3" t="n">
        <v>6</v>
      </c>
      <c r="C82" s="3" t="inlineStr">
        <is>
          <t>三択</t>
        </is>
      </c>
      <c r="D82" s="10" t="inlineStr">
        <is>
          <t>見当識障害の説明として正しいものはどれか。</t>
        </is>
      </c>
      <c r="E82" s="10" t="inlineStr">
        <is>
          <t>ア　段取りができない
イ　日時・場所・人が分からない
ウ　物をよくなくす</t>
        </is>
      </c>
      <c r="F82" s="5" t="inlineStr">
        <is>
          <t>イ</t>
        </is>
      </c>
      <c r="G82" s="10" t="inlineStr">
        <is>
          <t>アは実行機能障害です。</t>
        </is>
      </c>
    </row>
    <row r="83">
      <c r="A83" s="3" t="inlineStr">
        <is>
          <t>10月</t>
        </is>
      </c>
      <c r="B83" s="3" t="n">
        <v>7</v>
      </c>
      <c r="C83" s="3" t="inlineStr">
        <is>
          <t>三択</t>
        </is>
      </c>
      <c r="D83" s="10" t="inlineStr">
        <is>
          <t>BPSDにあたるものはどれか。</t>
        </is>
      </c>
      <c r="E83" s="10" t="inlineStr">
        <is>
          <t>ア　記憶障害
イ　もの盗られ妄想
ウ　見当識障害</t>
        </is>
      </c>
      <c r="F83" s="5" t="inlineStr">
        <is>
          <t>イ</t>
        </is>
      </c>
      <c r="G83" s="10" t="inlineStr">
        <is>
          <t>記憶障害と見当識障害は中核症状です。</t>
        </is>
      </c>
    </row>
    <row r="84">
      <c r="A84" s="3" t="inlineStr">
        <is>
          <t>10月</t>
        </is>
      </c>
      <c r="B84" s="3" t="n">
        <v>8</v>
      </c>
      <c r="C84" s="3" t="inlineStr">
        <is>
          <t>三択</t>
        </is>
      </c>
      <c r="D84" s="10" t="inlineStr">
        <is>
          <t>認知症の人への話しかけ方として適切なものはどれか。</t>
        </is>
      </c>
      <c r="E84" s="10" t="inlineStr">
        <is>
          <t>ア　後ろから声をかける
イ　正面から目線を合わせ、名乗ってから話す
ウ　大きな声で一度にたくさん伝える</t>
        </is>
      </c>
      <c r="F84" s="5" t="inlineStr">
        <is>
          <t>イ</t>
        </is>
      </c>
      <c r="G84" s="10" t="inlineStr">
        <is>
          <t>本人のペースに合わせ、短い言葉で伝えます。</t>
        </is>
      </c>
    </row>
    <row r="85">
      <c r="A85" s="3" t="inlineStr">
        <is>
          <t>10月</t>
        </is>
      </c>
      <c r="B85" s="3" t="n">
        <v>9</v>
      </c>
      <c r="C85" s="3" t="inlineStr">
        <is>
          <t>三択</t>
        </is>
      </c>
      <c r="D85" s="10" t="inlineStr">
        <is>
          <t>入浴を拒否されたときの対応として適切なものはどれか。</t>
        </is>
      </c>
      <c r="E85" s="10" t="inlineStr">
        <is>
          <t>ア　無理に脱衣させる
イ　時間や声かけを変え、理由を探る
ウ　中止して記録しない</t>
        </is>
      </c>
      <c r="F85" s="5" t="inlineStr">
        <is>
          <t>イ</t>
        </is>
      </c>
      <c r="G85" s="10" t="inlineStr">
        <is>
          <t>寒さや羞恥心など、拒否の理由を探ります。</t>
        </is>
      </c>
    </row>
    <row r="86">
      <c r="A86" s="3" t="inlineStr">
        <is>
          <t>10月</t>
        </is>
      </c>
      <c r="B86" s="3" t="n">
        <v>10</v>
      </c>
      <c r="C86" s="3" t="inlineStr">
        <is>
          <t>三択</t>
        </is>
      </c>
      <c r="D86" s="10" t="inlineStr">
        <is>
          <t>訪問時の身だしなみとして望ましくないものはどれか。</t>
        </is>
      </c>
      <c r="E86" s="10" t="inlineStr">
        <is>
          <t>ア　爪を短く切る
イ　清潔な服装をする
ウ　香水をつける</t>
        </is>
      </c>
      <c r="F86" s="5" t="inlineStr">
        <is>
          <t>ウ</t>
        </is>
      </c>
      <c r="G86" s="10" t="inlineStr">
        <is>
          <t>香水は控えます。</t>
        </is>
      </c>
    </row>
    <row r="88">
      <c r="A88" s="9" t="inlineStr">
        <is>
          <t>11月　★業務継続計画（感染症）＋感染症訓練</t>
        </is>
      </c>
    </row>
    <row r="89">
      <c r="A89" s="3" t="inlineStr">
        <is>
          <t>11月</t>
        </is>
      </c>
      <c r="B89" s="3" t="n">
        <v>1</v>
      </c>
      <c r="C89" s="3" t="inlineStr">
        <is>
          <t>○×</t>
        </is>
      </c>
      <c r="D89" s="10" t="inlineStr">
        <is>
          <t>防護具や消毒液の備蓄は、2週間分を目安に準備する。</t>
        </is>
      </c>
      <c r="E89" s="10" t="inlineStr"/>
      <c r="F89" s="5" t="inlineStr">
        <is>
          <t>○</t>
        </is>
      </c>
      <c r="G89" s="10" t="inlineStr">
        <is>
          <t>平時からの備えとして備蓄しておきます。</t>
        </is>
      </c>
    </row>
    <row r="90">
      <c r="A90" s="3" t="inlineStr">
        <is>
          <t>11月</t>
        </is>
      </c>
      <c r="B90" s="3" t="n">
        <v>2</v>
      </c>
      <c r="C90" s="3" t="inlineStr">
        <is>
          <t>○×</t>
        </is>
      </c>
      <c r="D90" s="10" t="inlineStr">
        <is>
          <t>感染が疑われる利用者の訪問は、なるべく1日の最後にする。</t>
        </is>
      </c>
      <c r="E90" s="10" t="inlineStr"/>
      <c r="F90" s="5" t="inlineStr">
        <is>
          <t>○</t>
        </is>
      </c>
      <c r="G90" s="10" t="inlineStr">
        <is>
          <t>他の利用者への感染を防ぐためです。</t>
        </is>
      </c>
    </row>
    <row r="91">
      <c r="A91" s="3" t="inlineStr">
        <is>
          <t>11月</t>
        </is>
      </c>
      <c r="B91" s="3" t="n">
        <v>3</v>
      </c>
      <c r="C91" s="3" t="inlineStr">
        <is>
          <t>○×</t>
        </is>
      </c>
      <c r="D91" s="10" t="inlineStr">
        <is>
          <t>職員が感染したときは、担当利用者のサービスを他の職員で調整する。</t>
        </is>
      </c>
      <c r="E91" s="10" t="inlineStr"/>
      <c r="F91" s="5" t="inlineStr">
        <is>
          <t>○</t>
        </is>
      </c>
      <c r="G91" s="10" t="inlineStr">
        <is>
          <t>足りない場合はケアマネジャーと相談して内容を見直します。</t>
        </is>
      </c>
    </row>
    <row r="92">
      <c r="A92" s="3" t="inlineStr">
        <is>
          <t>11月</t>
        </is>
      </c>
      <c r="B92" s="3" t="n">
        <v>4</v>
      </c>
      <c r="C92" s="3" t="inlineStr">
        <is>
          <t>○×</t>
        </is>
      </c>
      <c r="D92" s="10" t="inlineStr">
        <is>
          <t>感染症の流行時でも、掃除や買い物は最も優先度が高いサービスである。</t>
        </is>
      </c>
      <c r="E92" s="10" t="inlineStr"/>
      <c r="F92" s="5" t="inlineStr">
        <is>
          <t>×</t>
        </is>
      </c>
      <c r="G92" s="10" t="inlineStr">
        <is>
          <t>排泄・食事・服薬・安否確認が優先です。</t>
        </is>
      </c>
    </row>
    <row r="93">
      <c r="A93" s="3" t="inlineStr">
        <is>
          <t>11月</t>
        </is>
      </c>
      <c r="B93" s="3" t="n">
        <v>5</v>
      </c>
      <c r="C93" s="3" t="inlineStr">
        <is>
          <t>○×</t>
        </is>
      </c>
      <c r="D93" s="10" t="inlineStr">
        <is>
          <t>防護具を外した後は、手指衛生をしなくてよい。</t>
        </is>
      </c>
      <c r="E93" s="10" t="inlineStr"/>
      <c r="F93" s="5" t="inlineStr">
        <is>
          <t>×</t>
        </is>
      </c>
      <c r="G93" s="10" t="inlineStr">
        <is>
          <t>外し終えたら必ず手指衛生を行います。</t>
        </is>
      </c>
    </row>
    <row r="94">
      <c r="A94" s="3" t="inlineStr">
        <is>
          <t>11月</t>
        </is>
      </c>
      <c r="B94" s="3" t="n">
        <v>6</v>
      </c>
      <c r="C94" s="3" t="inlineStr">
        <is>
          <t>三択</t>
        </is>
      </c>
      <c r="D94" s="10" t="inlineStr">
        <is>
          <t>感染症BCPの3つの柱に含まれないものはどれか。</t>
        </is>
      </c>
      <c r="E94" s="10" t="inlineStr">
        <is>
          <t>ア　平時からの備え
イ　初動対応
ウ　職員の昇給</t>
        </is>
      </c>
      <c r="F94" s="5" t="inlineStr">
        <is>
          <t>ウ</t>
        </is>
      </c>
      <c r="G94" s="10" t="inlineStr">
        <is>
          <t>3つの柱は、平時からの備え、初動対応、感染拡大防止と継続です。</t>
        </is>
      </c>
    </row>
    <row r="95">
      <c r="A95" s="3" t="inlineStr">
        <is>
          <t>11月</t>
        </is>
      </c>
      <c r="B95" s="3" t="n">
        <v>7</v>
      </c>
      <c r="C95" s="3" t="inlineStr">
        <is>
          <t>三択</t>
        </is>
      </c>
      <c r="D95" s="10" t="inlineStr">
        <is>
          <t>防護具を着用するとき、最後に着けるものはどれか。</t>
        </is>
      </c>
      <c r="E95" s="10" t="inlineStr">
        <is>
          <t>ア　ガウン
イ　マスク
ウ　手袋</t>
        </is>
      </c>
      <c r="F95" s="5" t="inlineStr">
        <is>
          <t>ウ</t>
        </is>
      </c>
      <c r="G95" s="10" t="inlineStr">
        <is>
          <t>手指衛生→ガウン→マスク→フェイスシールド→手袋の順です。</t>
        </is>
      </c>
    </row>
    <row r="96">
      <c r="A96" s="3" t="inlineStr">
        <is>
          <t>11月</t>
        </is>
      </c>
      <c r="B96" s="3" t="n">
        <v>8</v>
      </c>
      <c r="C96" s="3" t="inlineStr">
        <is>
          <t>三択</t>
        </is>
      </c>
      <c r="D96" s="10" t="inlineStr">
        <is>
          <t>防護具を外すとき、最初に外すものはどれか。</t>
        </is>
      </c>
      <c r="E96" s="10" t="inlineStr">
        <is>
          <t>ア　マスク
イ　手袋
ウ　ガウン</t>
        </is>
      </c>
      <c r="F96" s="5" t="inlineStr">
        <is>
          <t>イ</t>
        </is>
      </c>
      <c r="G96" s="10" t="inlineStr">
        <is>
          <t>最も汚染されている手袋を最初に外します。</t>
        </is>
      </c>
    </row>
    <row r="97">
      <c r="A97" s="3" t="inlineStr">
        <is>
          <t>11月</t>
        </is>
      </c>
      <c r="B97" s="3" t="n">
        <v>9</v>
      </c>
      <c r="C97" s="3" t="inlineStr">
        <is>
          <t>三択</t>
        </is>
      </c>
      <c r="D97" s="10" t="inlineStr">
        <is>
          <t>職員が不足したときの優先度が「高」のサービスはどれか。</t>
        </is>
      </c>
      <c r="E97" s="10" t="inlineStr">
        <is>
          <t>ア　掃除
イ　服薬確認
ウ　買い物</t>
        </is>
      </c>
      <c r="F97" s="5" t="inlineStr">
        <is>
          <t>イ</t>
        </is>
      </c>
      <c r="G97" s="10" t="inlineStr">
        <is>
          <t>服薬確認や排泄介助は優先度が高いサービスです。</t>
        </is>
      </c>
    </row>
    <row r="98">
      <c r="A98" s="3" t="inlineStr">
        <is>
          <t>11月</t>
        </is>
      </c>
      <c r="B98" s="3" t="n">
        <v>10</v>
      </c>
      <c r="C98" s="3" t="inlineStr">
        <is>
          <t>三択</t>
        </is>
      </c>
      <c r="D98" s="10" t="inlineStr">
        <is>
          <t>入浴介助ができないときの代わりの方法はどれか。</t>
        </is>
      </c>
      <c r="E98" s="10" t="inlineStr">
        <is>
          <t>ア　清拭に変更する
イ　中止して誰にも連絡しない
ウ　家族に任せきりにする</t>
        </is>
      </c>
      <c r="F98" s="5" t="inlineStr">
        <is>
          <t>ア</t>
        </is>
      </c>
      <c r="G98" s="10" t="inlineStr">
        <is>
          <t>ケアマネジャーと相談のうえ、清拭などに変更します。</t>
        </is>
      </c>
    </row>
    <row r="100">
      <c r="A100" s="9" t="inlineStr">
        <is>
          <t>12月　★高齢者虐待防止（第2回）・事例検討</t>
        </is>
      </c>
    </row>
    <row r="101">
      <c r="A101" s="3" t="inlineStr">
        <is>
          <t>12月</t>
        </is>
      </c>
      <c r="B101" s="3" t="n">
        <v>1</v>
      </c>
      <c r="C101" s="3" t="inlineStr">
        <is>
          <t>○×</t>
        </is>
      </c>
      <c r="D101" s="10" t="inlineStr">
        <is>
          <t>介助中に利用者の両手を押さえ続けることは、身体拘束にあたる可能性がある。</t>
        </is>
      </c>
      <c r="E101" s="10" t="inlineStr"/>
      <c r="F101" s="5" t="inlineStr">
        <is>
          <t>○</t>
        </is>
      </c>
      <c r="G101" s="10" t="inlineStr">
        <is>
          <t>事例1のような対応は身体拘束・身体的虐待にあたるおそれがあります。</t>
        </is>
      </c>
    </row>
    <row r="102">
      <c r="A102" s="3" t="inlineStr">
        <is>
          <t>12月</t>
        </is>
      </c>
      <c r="B102" s="3" t="n">
        <v>2</v>
      </c>
      <c r="C102" s="3" t="inlineStr">
        <is>
          <t>○×</t>
        </is>
      </c>
      <c r="D102" s="10" t="inlineStr">
        <is>
          <t>職員のストレスや人手不足は、虐待の発生要因になる。</t>
        </is>
      </c>
      <c r="E102" s="10" t="inlineStr"/>
      <c r="F102" s="5" t="inlineStr">
        <is>
          <t>○</t>
        </is>
      </c>
      <c r="G102" s="10" t="inlineStr">
        <is>
          <t>虐待の発生要因として多く挙げられています。</t>
        </is>
      </c>
    </row>
    <row r="103">
      <c r="A103" s="3" t="inlineStr">
        <is>
          <t>12月</t>
        </is>
      </c>
      <c r="B103" s="3" t="n">
        <v>3</v>
      </c>
      <c r="C103" s="3" t="inlineStr">
        <is>
          <t>○×</t>
        </is>
      </c>
      <c r="D103" s="10" t="inlineStr">
        <is>
          <t>対応が難しい利用者は、一人で抱え込まずチームで対応を考える。</t>
        </is>
      </c>
      <c r="E103" s="10" t="inlineStr"/>
      <c r="F103" s="5" t="inlineStr">
        <is>
          <t>○</t>
        </is>
      </c>
      <c r="G103" s="10" t="inlineStr">
        <is>
          <t>サービス提供責任者に相談し、チームで考えます。</t>
        </is>
      </c>
    </row>
    <row r="104">
      <c r="A104" s="3" t="inlineStr">
        <is>
          <t>12月</t>
        </is>
      </c>
      <c r="B104" s="3" t="n">
        <v>4</v>
      </c>
      <c r="C104" s="3" t="inlineStr">
        <is>
          <t>○×</t>
        </is>
      </c>
      <c r="D104" s="10" t="inlineStr">
        <is>
          <t>セルフチェックで当てはまる項目があっても、振り返る必要はない。</t>
        </is>
      </c>
      <c r="E104" s="10" t="inlineStr"/>
      <c r="F104" s="5" t="inlineStr">
        <is>
          <t>×</t>
        </is>
      </c>
      <c r="G104" s="10" t="inlineStr">
        <is>
          <t>当てはまった項目は、ケアを見直すきっかけにします。</t>
        </is>
      </c>
    </row>
    <row r="105">
      <c r="A105" s="3" t="inlineStr">
        <is>
          <t>12月</t>
        </is>
      </c>
      <c r="B105" s="3" t="n">
        <v>5</v>
      </c>
      <c r="C105" s="3" t="inlineStr">
        <is>
          <t>○×</t>
        </is>
      </c>
      <c r="D105" s="10" t="inlineStr">
        <is>
          <t>同居家族が「自分で転んだ」と言えば、あざについて報告しなくてよい。</t>
        </is>
      </c>
      <c r="E105" s="10" t="inlineStr"/>
      <c r="F105" s="5" t="inlineStr">
        <is>
          <t>×</t>
        </is>
      </c>
      <c r="G105" s="10" t="inlineStr">
        <is>
          <t>説明のつかないあざは虐待のサインの一つです。報告します。</t>
        </is>
      </c>
    </row>
    <row r="106">
      <c r="A106" s="3" t="inlineStr">
        <is>
          <t>12月</t>
        </is>
      </c>
      <c r="B106" s="3" t="n">
        <v>6</v>
      </c>
      <c r="C106" s="3" t="inlineStr">
        <is>
          <t>三択</t>
        </is>
      </c>
      <c r="D106" s="10" t="inlineStr">
        <is>
          <t>事例2で、虐待のサインとして考えにくいものはどれか。</t>
        </is>
      </c>
      <c r="E106" s="10" t="inlineStr">
        <is>
          <t>ア　腕の新しいあざ
イ　冷蔵庫がほとんど空
ウ　部屋が整頓されている</t>
        </is>
      </c>
      <c r="F106" s="5" t="inlineStr">
        <is>
          <t>ウ</t>
        </is>
      </c>
      <c r="G106" s="10" t="inlineStr">
        <is>
          <t>あざ、食べ物がない、体重減少、家族の前で黙り込むことはサインです。</t>
        </is>
      </c>
    </row>
    <row r="107">
      <c r="A107" s="3" t="inlineStr">
        <is>
          <t>12月</t>
        </is>
      </c>
      <c r="B107" s="3" t="n">
        <v>7</v>
      </c>
      <c r="C107" s="3" t="inlineStr">
        <is>
          <t>三択</t>
        </is>
      </c>
      <c r="D107" s="10" t="inlineStr">
        <is>
          <t>介護への抵抗があったときの対応として適切なものはどれか。</t>
        </is>
      </c>
      <c r="E107" s="10" t="inlineStr">
        <is>
          <t>ア　力で押さえて介助を続ける
イ　抵抗の理由をチームで考える
ウ　介助をやめて記録しない</t>
        </is>
      </c>
      <c r="F107" s="5" t="inlineStr">
        <is>
          <t>イ</t>
        </is>
      </c>
      <c r="G107" s="10" t="inlineStr">
        <is>
          <t>抵抗には理由があることが多いです。</t>
        </is>
      </c>
    </row>
    <row r="108">
      <c r="A108" s="3" t="inlineStr">
        <is>
          <t>12月</t>
        </is>
      </c>
      <c r="B108" s="3" t="n">
        <v>8</v>
      </c>
      <c r="C108" s="3" t="inlineStr">
        <is>
          <t>三択</t>
        </is>
      </c>
      <c r="D108" s="10" t="inlineStr">
        <is>
          <t>虐待の5類型に含まれないものはどれか。</t>
        </is>
      </c>
      <c r="E108" s="10" t="inlineStr">
        <is>
          <t>ア　経済的虐待
イ　性的虐待
ウ　過剰なサービス提供</t>
        </is>
      </c>
      <c r="F108" s="5" t="inlineStr">
        <is>
          <t>ウ</t>
        </is>
      </c>
      <c r="G108" s="10" t="inlineStr">
        <is>
          <t>5類型は身体的、介護・世話の放棄・放任、心理的、性的、経済的です。</t>
        </is>
      </c>
    </row>
    <row r="109">
      <c r="A109" s="3" t="inlineStr">
        <is>
          <t>12月</t>
        </is>
      </c>
      <c r="B109" s="3" t="n">
        <v>9</v>
      </c>
      <c r="C109" s="3" t="inlineStr">
        <is>
          <t>三択</t>
        </is>
      </c>
      <c r="D109" s="10" t="inlineStr">
        <is>
          <t>同僚の不適切なケアに気づいたときの対応はどれか。</t>
        </is>
      </c>
      <c r="E109" s="10" t="inlineStr">
        <is>
          <t>ア　黙っている
イ　管理者や虐待防止担当者に相談する
ウ　SNSに書く</t>
        </is>
      </c>
      <c r="F109" s="5" t="inlineStr">
        <is>
          <t>イ</t>
        </is>
      </c>
      <c r="G109" s="10" t="inlineStr">
        <is>
          <t>見て見ぬふりも不適切ケアを広げます。</t>
        </is>
      </c>
    </row>
    <row r="110">
      <c r="A110" s="3" t="inlineStr">
        <is>
          <t>12月</t>
        </is>
      </c>
      <c r="B110" s="3" t="n">
        <v>10</v>
      </c>
      <c r="C110" s="3" t="inlineStr">
        <is>
          <t>三択</t>
        </is>
      </c>
      <c r="D110" s="10" t="inlineStr">
        <is>
          <t>疲れやつらさを感じたときの対応はどれか。</t>
        </is>
      </c>
      <c r="E110" s="10" t="inlineStr">
        <is>
          <t>ア　我慢して働き続ける
イ　管理者や相談窓口に伝える
ウ　誰にも言わず休む</t>
        </is>
      </c>
      <c r="F110" s="5" t="inlineStr">
        <is>
          <t>イ</t>
        </is>
      </c>
      <c r="G110" s="10" t="inlineStr">
        <is>
          <t>早めに相談することが虐待防止につながります。</t>
        </is>
      </c>
    </row>
    <row r="112">
      <c r="A112" s="9" t="inlineStr">
        <is>
          <t>1月　介護技術・医行為の範囲</t>
        </is>
      </c>
    </row>
    <row r="113">
      <c r="A113" s="3" t="inlineStr">
        <is>
          <t>1月</t>
        </is>
      </c>
      <c r="B113" s="3" t="n">
        <v>1</v>
      </c>
      <c r="C113" s="3" t="inlineStr">
        <is>
          <t>○×</t>
        </is>
      </c>
      <c r="D113" s="10" t="inlineStr">
        <is>
          <t>自動血圧計での血圧測定は、医行為ではないとされている。</t>
        </is>
      </c>
      <c r="E113" s="10" t="inlineStr"/>
      <c r="F113" s="5" t="inlineStr">
        <is>
          <t>○</t>
        </is>
      </c>
      <c r="G113" s="10" t="inlineStr">
        <is>
          <t>測定はできますが、値の判断はしません。</t>
        </is>
      </c>
    </row>
    <row r="114">
      <c r="A114" s="3" t="inlineStr">
        <is>
          <t>1月</t>
        </is>
      </c>
      <c r="B114" s="3" t="n">
        <v>2</v>
      </c>
      <c r="C114" s="3" t="inlineStr">
        <is>
          <t>○×</t>
        </is>
      </c>
      <c r="D114" s="10" t="inlineStr">
        <is>
          <t>測った血圧の値から、薬を飲むかどうかを判断して利用者に伝えてよい。</t>
        </is>
      </c>
      <c r="E114" s="10" t="inlineStr"/>
      <c r="F114" s="5" t="inlineStr">
        <is>
          <t>×</t>
        </is>
      </c>
      <c r="G114" s="10" t="inlineStr">
        <is>
          <t>判断はせず、異常値は報告します。</t>
        </is>
      </c>
    </row>
    <row r="115">
      <c r="A115" s="3" t="inlineStr">
        <is>
          <t>1月</t>
        </is>
      </c>
      <c r="B115" s="3" t="n">
        <v>3</v>
      </c>
      <c r="C115" s="3" t="inlineStr">
        <is>
          <t>○×</t>
        </is>
      </c>
      <c r="D115" s="10" t="inlineStr">
        <is>
          <t>褥瘡の処置は、訪問介護員が行える。</t>
        </is>
      </c>
      <c r="E115" s="10" t="inlineStr"/>
      <c r="F115" s="5" t="inlineStr">
        <is>
          <t>×</t>
        </is>
      </c>
      <c r="G115" s="10" t="inlineStr">
        <is>
          <t>褥瘡の処置は医行為です。</t>
        </is>
      </c>
    </row>
    <row r="116">
      <c r="A116" s="3" t="inlineStr">
        <is>
          <t>1月</t>
        </is>
      </c>
      <c r="B116" s="3" t="n">
        <v>4</v>
      </c>
      <c r="C116" s="3" t="inlineStr">
        <is>
          <t>○×</t>
        </is>
      </c>
      <c r="D116" s="10" t="inlineStr">
        <is>
          <t>喀痰吸引は、研修を修了し登録された認定特定行為業務従事者が行える。</t>
        </is>
      </c>
      <c r="E116" s="10" t="inlineStr"/>
      <c r="F116" s="5" t="inlineStr">
        <is>
          <t>○</t>
        </is>
      </c>
      <c r="G116" s="10" t="inlineStr">
        <is>
          <t>登録がない訪問介護員は行えません。</t>
        </is>
      </c>
    </row>
    <row r="117">
      <c r="A117" s="3" t="inlineStr">
        <is>
          <t>1月</t>
        </is>
      </c>
      <c r="B117" s="3" t="n">
        <v>5</v>
      </c>
      <c r="C117" s="3" t="inlineStr">
        <is>
          <t>○×</t>
        </is>
      </c>
      <c r="D117" s="10" t="inlineStr">
        <is>
          <t>移乗介助では、腰をひねらず足先を動かす方向に向ける。</t>
        </is>
      </c>
      <c r="E117" s="10" t="inlineStr"/>
      <c r="F117" s="5" t="inlineStr">
        <is>
          <t>○</t>
        </is>
      </c>
      <c r="G117" s="10" t="inlineStr">
        <is>
          <t>ボディメカニクスの基本です。</t>
        </is>
      </c>
    </row>
    <row r="118">
      <c r="A118" s="3" t="inlineStr">
        <is>
          <t>1月</t>
        </is>
      </c>
      <c r="B118" s="3" t="n">
        <v>6</v>
      </c>
      <c r="C118" s="3" t="inlineStr">
        <is>
          <t>三択</t>
        </is>
      </c>
      <c r="D118" s="10" t="inlineStr">
        <is>
          <t>医行為ではないとされる行為はどれか。</t>
        </is>
      </c>
      <c r="E118" s="10" t="inlineStr">
        <is>
          <t>ア　インスリン注射
イ　一包化された内服薬の服薬介助
ウ　摘便</t>
        </is>
      </c>
      <c r="F118" s="5" t="inlineStr">
        <is>
          <t>イ</t>
        </is>
      </c>
      <c r="G118" s="10" t="inlineStr">
        <is>
          <t>条件を満たせば服薬介助は行えます。ア・ウは医行為です。</t>
        </is>
      </c>
    </row>
    <row r="119">
      <c r="A119" s="3" t="inlineStr">
        <is>
          <t>1月</t>
        </is>
      </c>
      <c r="B119" s="3" t="n">
        <v>7</v>
      </c>
      <c r="C119" s="3" t="inlineStr">
        <is>
          <t>三択</t>
        </is>
      </c>
      <c r="D119" s="10" t="inlineStr">
        <is>
          <t>爪切りを行える条件として正しいものはどれか。</t>
        </is>
      </c>
      <c r="E119" s="10" t="inlineStr">
        <is>
          <t>ア　爪や周りの皮膚に異常がない
イ　糖尿病で専門的な管理が必要
ウ　巻き爪がひどい</t>
        </is>
      </c>
      <c r="F119" s="5" t="inlineStr">
        <is>
          <t>ア</t>
        </is>
      </c>
      <c r="G119" s="10" t="inlineStr">
        <is>
          <t>異常がある場合や専門的管理が必要な場合は行いません。</t>
        </is>
      </c>
    </row>
    <row r="120">
      <c r="A120" s="3" t="inlineStr">
        <is>
          <t>1月</t>
        </is>
      </c>
      <c r="B120" s="3" t="n">
        <v>8</v>
      </c>
      <c r="C120" s="3" t="inlineStr">
        <is>
          <t>三択</t>
        </is>
      </c>
      <c r="D120" s="10" t="inlineStr">
        <is>
          <t>耳垢の除去で、訪問介護員が行えないものはどれか。</t>
        </is>
      </c>
      <c r="E120" s="10" t="inlineStr">
        <is>
          <t>ア　耳の入口の耳垢を取る
イ　耳垢塞栓の除去
ウ　綿棒で軽く拭う</t>
        </is>
      </c>
      <c r="F120" s="5" t="inlineStr">
        <is>
          <t>イ</t>
        </is>
      </c>
      <c r="G120" s="10" t="inlineStr">
        <is>
          <t>耳垢塞栓の除去は除かれています。</t>
        </is>
      </c>
    </row>
    <row r="121">
      <c r="A121" s="3" t="inlineStr">
        <is>
          <t>1月</t>
        </is>
      </c>
      <c r="B121" s="3" t="n">
        <v>9</v>
      </c>
      <c r="C121" s="3" t="inlineStr">
        <is>
          <t>三択</t>
        </is>
      </c>
      <c r="D121" s="10" t="inlineStr">
        <is>
          <t>服薬の拒否や残薬の増加に気づいたときの対応はどれか。</t>
        </is>
      </c>
      <c r="E121" s="10" t="inlineStr">
        <is>
          <t>ア　残った薬を捨てる
イ　サービス提供責任者に報告する
ウ　次回まとめて飲んでもらう</t>
        </is>
      </c>
      <c r="F121" s="5" t="inlineStr">
        <is>
          <t>イ</t>
        </is>
      </c>
      <c r="G121" s="10" t="inlineStr">
        <is>
          <t>飲み忘れや拒否、残薬の増加は報告します。</t>
        </is>
      </c>
    </row>
    <row r="122">
      <c r="A122" s="3" t="inlineStr">
        <is>
          <t>1月</t>
        </is>
      </c>
      <c r="B122" s="3" t="n">
        <v>10</v>
      </c>
      <c r="C122" s="3" t="inlineStr">
        <is>
          <t>三択</t>
        </is>
      </c>
      <c r="D122" s="10" t="inlineStr">
        <is>
          <t>ボディメカニクスとして正しいものはどれか。</t>
        </is>
      </c>
      <c r="E122" s="10" t="inlineStr">
        <is>
          <t>ア　足を閉じて重心を高くする
イ　足を開いて重心を低くし、利用者に近づく
ウ　腕の力だけで持ち上げる</t>
        </is>
      </c>
      <c r="F122" s="5" t="inlineStr">
        <is>
          <t>イ</t>
        </is>
      </c>
      <c r="G122" s="10" t="inlineStr">
        <is>
          <t>支持基底面を広く、重心を低くします。</t>
        </is>
      </c>
    </row>
    <row r="124">
      <c r="A124" s="9" t="inlineStr">
        <is>
          <t>2月　看取り・プライバシー保護</t>
        </is>
      </c>
    </row>
    <row r="125">
      <c r="A125" s="3" t="inlineStr">
        <is>
          <t>2月</t>
        </is>
      </c>
      <c r="B125" s="3" t="n">
        <v>1</v>
      </c>
      <c r="C125" s="3" t="inlineStr">
        <is>
          <t>○×</t>
        </is>
      </c>
      <c r="D125" s="10" t="inlineStr">
        <is>
          <t>在宅での看取りは、医師や訪問看護などとのチームで行う。</t>
        </is>
      </c>
      <c r="E125" s="10" t="inlineStr"/>
      <c r="F125" s="5" t="inlineStr">
        <is>
          <t>○</t>
        </is>
      </c>
      <c r="G125" s="10" t="inlineStr">
        <is>
          <t>訪問介護員は日々の生活を一番近くで支える立場です。</t>
        </is>
      </c>
    </row>
    <row r="126">
      <c r="A126" s="3" t="inlineStr">
        <is>
          <t>2月</t>
        </is>
      </c>
      <c r="B126" s="3" t="n">
        <v>2</v>
      </c>
      <c r="C126" s="3" t="inlineStr">
        <is>
          <t>○×</t>
        </is>
      </c>
      <c r="D126" s="10" t="inlineStr">
        <is>
          <t>終末期で食事量が減ったら、全量食べてもらうよう励ます。</t>
        </is>
      </c>
      <c r="E126" s="10" t="inlineStr"/>
      <c r="F126" s="5" t="inlineStr">
        <is>
          <t>×</t>
        </is>
      </c>
      <c r="G126" s="10" t="inlineStr">
        <is>
          <t>無理に勧めず、好きなものを少量にします。</t>
        </is>
      </c>
    </row>
    <row r="127">
      <c r="A127" s="3" t="inlineStr">
        <is>
          <t>2月</t>
        </is>
      </c>
      <c r="B127" s="3" t="n">
        <v>3</v>
      </c>
      <c r="C127" s="3" t="inlineStr">
        <is>
          <t>○×</t>
        </is>
      </c>
      <c r="D127" s="10" t="inlineStr">
        <is>
          <t>聴覚は最後まで残ると言われている。</t>
        </is>
      </c>
      <c r="E127" s="10" t="inlineStr"/>
      <c r="F127" s="5" t="inlineStr">
        <is>
          <t>○</t>
        </is>
      </c>
      <c r="G127" s="10" t="inlineStr">
        <is>
          <t>眠っているように見えても、声をかけてからケアします。</t>
        </is>
      </c>
    </row>
    <row r="128">
      <c r="A128" s="3" t="inlineStr">
        <is>
          <t>2月</t>
        </is>
      </c>
      <c r="B128" s="3" t="n">
        <v>4</v>
      </c>
      <c r="C128" s="3" t="inlineStr">
        <is>
          <t>○×</t>
        </is>
      </c>
      <c r="D128" s="10" t="inlineStr">
        <is>
          <t>呼吸のリズムが変わったら、慌てずに記録し、事業所と訪問看護に報告する。</t>
        </is>
      </c>
      <c r="E128" s="10" t="inlineStr"/>
      <c r="F128" s="5" t="inlineStr">
        <is>
          <t>○</t>
        </is>
      </c>
      <c r="G128" s="10" t="inlineStr">
        <is>
          <t>終末期に見られる変化の一つです。</t>
        </is>
      </c>
    </row>
    <row r="129">
      <c r="A129" s="3" t="inlineStr">
        <is>
          <t>2月</t>
        </is>
      </c>
      <c r="B129" s="3" t="n">
        <v>5</v>
      </c>
      <c r="C129" s="3" t="inlineStr">
        <is>
          <t>○×</t>
        </is>
      </c>
      <c r="D129" s="10" t="inlineStr">
        <is>
          <t>利用者宅の引き出しは、片付けのためであれば自由に開けてよい。</t>
        </is>
      </c>
      <c r="E129" s="10" t="inlineStr"/>
      <c r="F129" s="5" t="inlineStr">
        <is>
          <t>×</t>
        </is>
      </c>
      <c r="G129" s="10" t="inlineStr">
        <is>
          <t>必要なく見たり触ったりしません。</t>
        </is>
      </c>
    </row>
    <row r="130">
      <c r="A130" s="3" t="inlineStr">
        <is>
          <t>2月</t>
        </is>
      </c>
      <c r="B130" s="3" t="n">
        <v>6</v>
      </c>
      <c r="C130" s="3" t="inlineStr">
        <is>
          <t>三択</t>
        </is>
      </c>
      <c r="D130" s="10" t="inlineStr">
        <is>
          <t>本人の希望をチームで共有する「人生会議」の別名はどれか。</t>
        </is>
      </c>
      <c r="E130" s="10" t="inlineStr">
        <is>
          <t>ア　ACP
イ　BCP
ウ　PPE</t>
        </is>
      </c>
      <c r="F130" s="5" t="inlineStr">
        <is>
          <t>ア</t>
        </is>
      </c>
      <c r="G130" s="10" t="inlineStr">
        <is>
          <t>ACP（アドバンス・ケア・プランニング）です。BCPは業務継続計画、PPEは個人防護具です。</t>
        </is>
      </c>
    </row>
    <row r="131">
      <c r="A131" s="3" t="inlineStr">
        <is>
          <t>2月</t>
        </is>
      </c>
      <c r="B131" s="3" t="n">
        <v>7</v>
      </c>
      <c r="C131" s="3" t="inlineStr">
        <is>
          <t>三択</t>
        </is>
      </c>
      <c r="D131" s="10" t="inlineStr">
        <is>
          <t>手足が冷たくなってきたときの対応はどれか。</t>
        </is>
      </c>
      <c r="E131" s="10" t="inlineStr">
        <is>
          <t>ア　保温し、体位を整える
イ　何もしない
ウ　冷やす</t>
        </is>
      </c>
      <c r="F131" s="5" t="inlineStr">
        <is>
          <t>ア</t>
        </is>
      </c>
      <c r="G131" s="10" t="inlineStr">
        <is>
          <t>保温して安楽な姿勢を整えます。</t>
        </is>
      </c>
    </row>
    <row r="132">
      <c r="A132" s="3" t="inlineStr">
        <is>
          <t>2月</t>
        </is>
      </c>
      <c r="B132" s="3" t="n">
        <v>8</v>
      </c>
      <c r="C132" s="3" t="inlineStr">
        <is>
          <t>三択</t>
        </is>
      </c>
      <c r="D132" s="10" t="inlineStr">
        <is>
          <t>看取りの方針が決まっている利用者の呼吸停止に気づいたときの対応はどれか。</t>
        </is>
      </c>
      <c r="E132" s="10" t="inlineStr">
        <is>
          <t>ア　事前の取り決めに従って連絡する
イ　何もせずに帰る
ウ　自分の判断で処置をする</t>
        </is>
      </c>
      <c r="F132" s="5" t="inlineStr">
        <is>
          <t>ア</t>
        </is>
      </c>
      <c r="G132" s="10" t="inlineStr">
        <is>
          <t>事前に決めた連絡先（訪問看護・主治医・家族）と事業所に連絡します。</t>
        </is>
      </c>
    </row>
    <row r="133">
      <c r="A133" s="3" t="inlineStr">
        <is>
          <t>2月</t>
        </is>
      </c>
      <c r="B133" s="3" t="n">
        <v>9</v>
      </c>
      <c r="C133" s="3" t="inlineStr">
        <is>
          <t>三択</t>
        </is>
      </c>
      <c r="D133" s="10" t="inlineStr">
        <is>
          <t>排泄介助でのプライバシーへの配慮として適切なものはどれか。</t>
        </is>
      </c>
      <c r="E133" s="10" t="inlineStr">
        <is>
          <t>ア　ドアを開けたまま行う
イ　カーテンを閉め、タオルで体を覆う
ウ　家族の前で失敗を話題にする</t>
        </is>
      </c>
      <c r="F133" s="5" t="inlineStr">
        <is>
          <t>イ</t>
        </is>
      </c>
      <c r="G133" s="10" t="inlineStr">
        <is>
          <t>露出を最小限にし、羞恥心に配慮します。</t>
        </is>
      </c>
    </row>
    <row r="134">
      <c r="A134" s="3" t="inlineStr">
        <is>
          <t>2月</t>
        </is>
      </c>
      <c r="B134" s="3" t="n">
        <v>10</v>
      </c>
      <c r="C134" s="3" t="inlineStr">
        <is>
          <t>三択</t>
        </is>
      </c>
      <c r="D134" s="10" t="inlineStr">
        <is>
          <t>家族への支援として適切なものはどれか。</t>
        </is>
      </c>
      <c r="E134" s="10" t="inlineStr">
        <is>
          <t>ア　話を聞き、ねぎらいの言葉をかける
イ　家族の悩みを他の利用者に話す
ウ　家族とは関わらない</t>
        </is>
      </c>
      <c r="F134" s="5" t="inlineStr">
        <is>
          <t>ア</t>
        </is>
      </c>
      <c r="G134" s="10" t="inlineStr">
        <is>
          <t>気になることはサービス提供責任者を通じてチームに伝えます。</t>
        </is>
      </c>
    </row>
    <row r="136">
      <c r="A136" s="9" t="inlineStr">
        <is>
          <t>3月　年間振り返り・次年度計画</t>
        </is>
      </c>
    </row>
    <row r="137">
      <c r="A137" s="3" t="inlineStr">
        <is>
          <t>3月</t>
        </is>
      </c>
      <c r="B137" s="3" t="n">
        <v>1</v>
      </c>
      <c r="C137" s="3" t="inlineStr">
        <is>
          <t>○×</t>
        </is>
      </c>
      <c r="D137" s="10" t="inlineStr">
        <is>
          <t>虐待防止研修は、年1回以上に加えて新規採用時にも行う。</t>
        </is>
      </c>
      <c r="E137" s="10" t="inlineStr"/>
      <c r="F137" s="5" t="inlineStr">
        <is>
          <t>○</t>
        </is>
      </c>
      <c r="G137" s="10" t="inlineStr">
        <is>
          <t>訪問介護の法定研修です。</t>
        </is>
      </c>
    </row>
    <row r="138">
      <c r="A138" s="3" t="inlineStr">
        <is>
          <t>3月</t>
        </is>
      </c>
      <c r="B138" s="3" t="n">
        <v>2</v>
      </c>
      <c r="C138" s="3" t="inlineStr">
        <is>
          <t>○×</t>
        </is>
      </c>
      <c r="D138" s="10" t="inlineStr">
        <is>
          <t>感染対策委員会は、おおむね6か月に1回以上開催する。</t>
        </is>
      </c>
      <c r="E138" s="10" t="inlineStr"/>
      <c r="F138" s="5" t="inlineStr">
        <is>
          <t>○</t>
        </is>
      </c>
      <c r="G138" s="10" t="inlineStr">
        <is>
          <t>運営基準で定められています。</t>
        </is>
      </c>
    </row>
    <row r="139">
      <c r="A139" s="3" t="inlineStr">
        <is>
          <t>3月</t>
        </is>
      </c>
      <c r="B139" s="3" t="n">
        <v>3</v>
      </c>
      <c r="C139" s="3" t="inlineStr">
        <is>
          <t>○×</t>
        </is>
      </c>
      <c r="D139" s="10" t="inlineStr">
        <is>
          <t>BCPの訓練は3年に1回行えばよい。</t>
        </is>
      </c>
      <c r="E139" s="10" t="inlineStr"/>
      <c r="F139" s="5" t="inlineStr">
        <is>
          <t>×</t>
        </is>
      </c>
      <c r="G139" s="10" t="inlineStr">
        <is>
          <t>研修・訓練とも年1回以上行います。</t>
        </is>
      </c>
    </row>
    <row r="140">
      <c r="A140" s="3" t="inlineStr">
        <is>
          <t>3月</t>
        </is>
      </c>
      <c r="B140" s="3" t="n">
        <v>4</v>
      </c>
      <c r="C140" s="3" t="inlineStr">
        <is>
          <t>○×</t>
        </is>
      </c>
      <c r="D140" s="10" t="inlineStr">
        <is>
          <t>研修を欠席した職員は、資料を読んで確認テストを提出し、その記録を残す。</t>
        </is>
      </c>
      <c r="E140" s="10" t="inlineStr"/>
      <c r="F140" s="5" t="inlineStr">
        <is>
          <t>○</t>
        </is>
      </c>
      <c r="G140" s="10" t="inlineStr">
        <is>
          <t>様式2の回覧確認表に記録します。</t>
        </is>
      </c>
    </row>
    <row r="141">
      <c r="A141" s="3" t="inlineStr">
        <is>
          <t>3月</t>
        </is>
      </c>
      <c r="B141" s="3" t="n">
        <v>5</v>
      </c>
      <c r="C141" s="3" t="inlineStr">
        <is>
          <t>○×</t>
        </is>
      </c>
      <c r="D141" s="10" t="inlineStr">
        <is>
          <t>研修記録は、実際に行っていなくても計画どおりに書けばよい。</t>
        </is>
      </c>
      <c r="E141" s="10" t="inlineStr"/>
      <c r="F141" s="5" t="inlineStr">
        <is>
          <t>×</t>
        </is>
      </c>
      <c r="G141" s="10" t="inlineStr">
        <is>
          <t>記録は実際に行った内容をそのまま書きます。虚偽の記録は重大な処分の対象になります。</t>
        </is>
      </c>
    </row>
    <row r="142">
      <c r="A142" s="3" t="inlineStr">
        <is>
          <t>3月</t>
        </is>
      </c>
      <c r="B142" s="3" t="n">
        <v>6</v>
      </c>
      <c r="C142" s="3" t="inlineStr">
        <is>
          <t>三択</t>
        </is>
      </c>
      <c r="D142" s="10" t="inlineStr">
        <is>
          <t>訪問介護の法定研修に含まれないものはどれか。</t>
        </is>
      </c>
      <c r="E142" s="10" t="inlineStr">
        <is>
          <t>ア　高齢者虐待防止
イ　感染症の予防及びまん延防止
ウ　看取り</t>
        </is>
      </c>
      <c r="F142" s="5" t="inlineStr">
        <is>
          <t>ウ</t>
        </is>
      </c>
      <c r="G142" s="10" t="inlineStr">
        <is>
          <t>法定研修は虐待防止、感染症、業務継続計画（BCP）です。</t>
        </is>
      </c>
    </row>
    <row r="143">
      <c r="A143" s="3" t="inlineStr">
        <is>
          <t>3月</t>
        </is>
      </c>
      <c r="B143" s="3" t="n">
        <v>7</v>
      </c>
      <c r="C143" s="3" t="inlineStr">
        <is>
          <t>三択</t>
        </is>
      </c>
      <c r="D143" s="10" t="inlineStr">
        <is>
          <t>ノロウイルスの消毒に有効なものはどれか。</t>
        </is>
      </c>
      <c r="E143" s="10" t="inlineStr">
        <is>
          <t>ア　アルコール
イ　次亜塩素酸ナトリウム
ウ　水拭き</t>
        </is>
      </c>
      <c r="F143" s="5" t="inlineStr">
        <is>
          <t>イ</t>
        </is>
      </c>
      <c r="G143" s="10" t="inlineStr">
        <is>
          <t>6月の研修内容です。</t>
        </is>
      </c>
    </row>
    <row r="144">
      <c r="A144" s="3" t="inlineStr">
        <is>
          <t>3月</t>
        </is>
      </c>
      <c r="B144" s="3" t="n">
        <v>8</v>
      </c>
      <c r="C144" s="3" t="inlineStr">
        <is>
          <t>三択</t>
        </is>
      </c>
      <c r="D144" s="10" t="inlineStr">
        <is>
          <t>身体拘束の例外となる3要件は「切迫性」「非代替性」とあと1つは何か。</t>
        </is>
      </c>
      <c r="E144" s="10" t="inlineStr">
        <is>
          <t>ア　一時性
イ　永続性
ウ　経済性</t>
        </is>
      </c>
      <c r="F144" s="5" t="inlineStr">
        <is>
          <t>ア</t>
        </is>
      </c>
      <c r="G144" s="10" t="inlineStr">
        <is>
          <t>5月の研修内容です。</t>
        </is>
      </c>
    </row>
    <row r="145">
      <c r="A145" s="3" t="inlineStr">
        <is>
          <t>3月</t>
        </is>
      </c>
      <c r="B145" s="3" t="n">
        <v>9</v>
      </c>
      <c r="C145" s="3" t="inlineStr">
        <is>
          <t>三択</t>
        </is>
      </c>
      <c r="D145" s="10" t="inlineStr">
        <is>
          <t>災害用伝言ダイヤルの番号はどれか。</t>
        </is>
      </c>
      <c r="E145" s="10" t="inlineStr">
        <is>
          <t>ア　110
イ　171
ウ　177</t>
        </is>
      </c>
      <c r="F145" s="5" t="inlineStr">
        <is>
          <t>イ</t>
        </is>
      </c>
      <c r="G145" s="10" t="inlineStr">
        <is>
          <t>7月の研修内容です。</t>
        </is>
      </c>
    </row>
    <row r="146">
      <c r="A146" s="3" t="inlineStr">
        <is>
          <t>3月</t>
        </is>
      </c>
      <c r="B146" s="3" t="n">
        <v>10</v>
      </c>
      <c r="C146" s="3" t="inlineStr">
        <is>
          <t>三択</t>
        </is>
      </c>
      <c r="D146" s="10" t="inlineStr">
        <is>
          <t>医行為ではないとされる行為はどれか。</t>
        </is>
      </c>
      <c r="E146" s="10" t="inlineStr">
        <is>
          <t>ア　自動血圧計での測定
イ　インスリン注射
ウ　摘便</t>
        </is>
      </c>
      <c r="F146" s="5" t="inlineStr">
        <is>
          <t>ア</t>
        </is>
      </c>
      <c r="G146" s="10" t="inlineStr">
        <is>
          <t>1月の研修内容です。</t>
        </is>
      </c>
    </row>
  </sheetData>
  <mergeCells count="12">
    <mergeCell ref="A88:G88"/>
    <mergeCell ref="A40:G40"/>
    <mergeCell ref="A124:G124"/>
    <mergeCell ref="A136:G136"/>
    <mergeCell ref="A4:G4"/>
    <mergeCell ref="A100:G100"/>
    <mergeCell ref="A16:G16"/>
    <mergeCell ref="A52:G52"/>
    <mergeCell ref="A64:G64"/>
    <mergeCell ref="A112:G112"/>
    <mergeCell ref="A76:G76"/>
    <mergeCell ref="A28:G28"/>
  </mergeCells>
  <pageMargins left="0.5" right="0.5" top="0.6" bottom="0.6"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58"/>
  <sheetViews>
    <sheetView workbookViewId="0">
      <pane ySplit="3" topLeftCell="A4" activePane="bottomLeft" state="frozen"/>
      <selection pane="bottomLeft" activeCell="A1" sqref="A1"/>
    </sheetView>
  </sheetViews>
  <sheetFormatPr baseColWidth="8" defaultRowHeight="15"/>
  <cols>
    <col width="6" customWidth="1" min="1" max="1"/>
    <col width="6" customWidth="1" min="2" max="2"/>
    <col width="60" customWidth="1" min="3" max="3"/>
    <col width="7" customWidth="1" min="4" max="4"/>
    <col width="40" customWidth="1" min="5" max="5"/>
  </cols>
  <sheetData>
    <row r="1">
      <c r="A1" s="1" t="inlineStr">
        <is>
          <t>研修資料 末尾の振り返りクイズ（○×5問）の解答</t>
        </is>
      </c>
    </row>
    <row r="3">
      <c r="A3" s="2" t="inlineStr">
        <is>
          <t>月</t>
        </is>
      </c>
      <c r="B3" s="2" t="inlineStr">
        <is>
          <t>番号</t>
        </is>
      </c>
      <c r="C3" s="2" t="inlineStr">
        <is>
          <t>問題</t>
        </is>
      </c>
      <c r="D3" s="2" t="inlineStr">
        <is>
          <t>正解</t>
        </is>
      </c>
      <c r="E3" s="2" t="inlineStr">
        <is>
          <t>補足</t>
        </is>
      </c>
    </row>
    <row r="4">
      <c r="A4" s="3" t="inlineStr">
        <is>
          <t>4月</t>
        </is>
      </c>
      <c r="B4" s="3" t="n">
        <v>1</v>
      </c>
      <c r="C4" s="10" t="inlineStr">
        <is>
          <t>退職した後であれば、利用者の情報を話しても問題ない。</t>
        </is>
      </c>
      <c r="D4" s="5" t="inlineStr">
        <is>
          <t>×</t>
        </is>
      </c>
      <c r="E4" s="10" t="inlineStr">
        <is>
          <t>退職後も守秘義務がある</t>
        </is>
      </c>
    </row>
    <row r="5">
      <c r="A5" s="3" t="inlineStr">
        <is>
          <t>4月</t>
        </is>
      </c>
      <c r="B5" s="3" t="n">
        <v>2</v>
      </c>
      <c r="C5" s="10" t="inlineStr">
        <is>
          <t>利用者から感謝の気持ちとして渡された現金は、少額であれば受け取ってよい。</t>
        </is>
      </c>
      <c r="D5" s="5" t="inlineStr">
        <is>
          <t>×</t>
        </is>
      </c>
      <c r="E5" s="10" t="inlineStr">
        <is>
          <t>金額にかかわらず受け取らない</t>
        </is>
      </c>
    </row>
    <row r="6">
      <c r="A6" s="3" t="inlineStr">
        <is>
          <t>4月</t>
        </is>
      </c>
      <c r="B6" s="3" t="n">
        <v>3</v>
      </c>
      <c r="C6" s="10" t="inlineStr">
        <is>
          <t>ケアマネジャーに利用者の情報を伝えるには、あらかじめ文書による同意が必要である。</t>
        </is>
      </c>
      <c r="D6" s="5" t="inlineStr">
        <is>
          <t>○</t>
        </is>
      </c>
      <c r="E6" s="10" t="inlineStr"/>
    </row>
    <row r="7">
      <c r="A7" s="3" t="inlineStr">
        <is>
          <t>4月</t>
        </is>
      </c>
      <c r="B7" s="3" t="n">
        <v>4</v>
      </c>
      <c r="C7" s="10" t="inlineStr">
        <is>
          <t>訪問介護計画にない支援を頼まれたら、サービス提供責任者に相談する。</t>
        </is>
      </c>
      <c r="D7" s="5" t="inlineStr">
        <is>
          <t>○</t>
        </is>
      </c>
      <c r="E7" s="10" t="inlineStr"/>
    </row>
    <row r="8">
      <c r="A8" s="3" t="inlineStr">
        <is>
          <t>4月</t>
        </is>
      </c>
      <c r="B8" s="3" t="n">
        <v>5</v>
      </c>
      <c r="C8" s="10" t="inlineStr">
        <is>
          <t>記録の誤りは修正液で消して書き直す。</t>
        </is>
      </c>
      <c r="D8" s="5" t="inlineStr">
        <is>
          <t>×</t>
        </is>
      </c>
      <c r="E8" s="10" t="inlineStr">
        <is>
          <t>二重線と訂正者名で訂正する</t>
        </is>
      </c>
    </row>
    <row r="9">
      <c r="A9" s="3" t="inlineStr">
        <is>
          <t>5月</t>
        </is>
      </c>
      <c r="B9" s="3" t="n">
        <v>1</v>
      </c>
      <c r="C9" s="10" t="inlineStr">
        <is>
          <t>介護職員が利用者に「早くして」と怒鳴ることは、心理的虐待にあたる可能性がある。</t>
        </is>
      </c>
      <c r="D9" s="5" t="inlineStr">
        <is>
          <t>○</t>
        </is>
      </c>
      <c r="E9" s="10" t="inlineStr"/>
    </row>
    <row r="10">
      <c r="A10" s="3" t="inlineStr">
        <is>
          <t>5月</t>
        </is>
      </c>
      <c r="B10" s="3" t="n">
        <v>2</v>
      </c>
      <c r="C10" s="10" t="inlineStr">
        <is>
          <t>職員による虐待を見つけても、確証がなければ通報してはいけない。</t>
        </is>
      </c>
      <c r="D10" s="5" t="inlineStr">
        <is>
          <t>×</t>
        </is>
      </c>
      <c r="E10" s="10" t="inlineStr">
        <is>
          <t>疑いの段階で報告・通報する</t>
        </is>
      </c>
    </row>
    <row r="11">
      <c r="A11" s="3" t="inlineStr">
        <is>
          <t>5月</t>
        </is>
      </c>
      <c r="B11" s="3" t="n">
        <v>3</v>
      </c>
      <c r="C11" s="10" t="inlineStr">
        <is>
          <t>虐待を通報した職員が、それを理由に解雇されることはない。</t>
        </is>
      </c>
      <c r="D11" s="5" t="inlineStr">
        <is>
          <t>○</t>
        </is>
      </c>
      <c r="E11" s="10" t="inlineStr"/>
    </row>
    <row r="12">
      <c r="A12" s="3" t="inlineStr">
        <is>
          <t>5月</t>
        </is>
      </c>
      <c r="B12" s="3" t="n">
        <v>4</v>
      </c>
      <c r="C12" s="10" t="inlineStr">
        <is>
          <t>身体的拘束等は、家族の同意があればいつでも行ってよい。</t>
        </is>
      </c>
      <c r="D12" s="5" t="inlineStr">
        <is>
          <t>×</t>
        </is>
      </c>
      <c r="E12" s="10" t="inlineStr">
        <is>
          <t>3要件を満たす緊急やむを得ない場合のみ、記録も必要</t>
        </is>
      </c>
    </row>
    <row r="13">
      <c r="A13" s="3" t="inlineStr">
        <is>
          <t>5月</t>
        </is>
      </c>
      <c r="B13" s="3" t="n">
        <v>5</v>
      </c>
      <c r="C13" s="10" t="inlineStr">
        <is>
          <t>利用者の買い物のおつりを返さないことは、経済的虐待にあたる。</t>
        </is>
      </c>
      <c r="D13" s="5" t="inlineStr">
        <is>
          <t>○</t>
        </is>
      </c>
      <c r="E13" s="10" t="inlineStr"/>
    </row>
    <row r="14">
      <c r="A14" s="3" t="inlineStr">
        <is>
          <t>6月</t>
        </is>
      </c>
      <c r="B14" s="3" t="n">
        <v>1</v>
      </c>
      <c r="C14" s="10" t="inlineStr">
        <is>
          <t>標準予防策は、感染症と診断された利用者にだけ行う。</t>
        </is>
      </c>
      <c r="D14" s="5" t="inlineStr">
        <is>
          <t>×</t>
        </is>
      </c>
      <c r="E14" s="10" t="inlineStr">
        <is>
          <t>すべての利用者に行う</t>
        </is>
      </c>
    </row>
    <row r="15">
      <c r="A15" s="3" t="inlineStr">
        <is>
          <t>6月</t>
        </is>
      </c>
      <c r="B15" s="3" t="n">
        <v>2</v>
      </c>
      <c r="C15" s="10" t="inlineStr">
        <is>
          <t>手袋を外した後も手指衛生が必要である。</t>
        </is>
      </c>
      <c r="D15" s="5" t="inlineStr">
        <is>
          <t>○</t>
        </is>
      </c>
      <c r="E15" s="10" t="inlineStr"/>
    </row>
    <row r="16">
      <c r="A16" s="3" t="inlineStr">
        <is>
          <t>6月</t>
        </is>
      </c>
      <c r="B16" s="3" t="n">
        <v>3</v>
      </c>
      <c r="C16" s="10" t="inlineStr">
        <is>
          <t>ノロウイルスの消毒には、アルコールよりも次亜塩素酸ナトリウムが有効である。</t>
        </is>
      </c>
      <c r="D16" s="5" t="inlineStr">
        <is>
          <t>○</t>
        </is>
      </c>
      <c r="E16" s="10" t="inlineStr"/>
    </row>
    <row r="17">
      <c r="A17" s="3" t="inlineStr">
        <is>
          <t>6月</t>
        </is>
      </c>
      <c r="B17" s="3" t="n">
        <v>4</v>
      </c>
      <c r="C17" s="10" t="inlineStr">
        <is>
          <t>少し熱があっても、訪問の予定があれば連絡せずに出勤する。</t>
        </is>
      </c>
      <c r="D17" s="5" t="inlineStr">
        <is>
          <t>×</t>
        </is>
      </c>
      <c r="E17" s="10" t="inlineStr">
        <is>
          <t>訪問せず管理者に連絡する</t>
        </is>
      </c>
    </row>
    <row r="18">
      <c r="A18" s="3" t="inlineStr">
        <is>
          <t>6月</t>
        </is>
      </c>
      <c r="B18" s="3" t="n">
        <v>5</v>
      </c>
      <c r="C18" s="10" t="inlineStr">
        <is>
          <t>利用者宅のタオルで手を拭くのは問題ない。</t>
        </is>
      </c>
      <c r="D18" s="5" t="inlineStr">
        <is>
          <t>×</t>
        </is>
      </c>
      <c r="E18" s="10" t="inlineStr">
        <is>
          <t>使い捨てペーパータオルを使う</t>
        </is>
      </c>
    </row>
    <row r="19">
      <c r="A19" s="3" t="inlineStr">
        <is>
          <t>7月</t>
        </is>
      </c>
      <c r="B19" s="3" t="n">
        <v>1</v>
      </c>
      <c r="C19" s="10" t="inlineStr">
        <is>
          <t>BCPの研修と訓練は、それぞれ年1回以上行う必要がある。</t>
        </is>
      </c>
      <c r="D19" s="5" t="inlineStr">
        <is>
          <t>○</t>
        </is>
      </c>
      <c r="E19" s="10" t="inlineStr"/>
    </row>
    <row r="20">
      <c r="A20" s="3" t="inlineStr">
        <is>
          <t>7月</t>
        </is>
      </c>
      <c r="B20" s="3" t="n">
        <v>2</v>
      </c>
      <c r="C20" s="10" t="inlineStr">
        <is>
          <t>訪問中に地震が起きたら、利用者を残してすぐに自宅へ戻る。</t>
        </is>
      </c>
      <c r="D20" s="5" t="inlineStr">
        <is>
          <t>×</t>
        </is>
      </c>
      <c r="E20" s="10" t="inlineStr">
        <is>
          <t>安全確保後、事業所の指示を受ける</t>
        </is>
      </c>
    </row>
    <row r="21">
      <c r="A21" s="3" t="inlineStr">
        <is>
          <t>7月</t>
        </is>
      </c>
      <c r="B21" s="3" t="n">
        <v>3</v>
      </c>
      <c r="C21" s="10" t="inlineStr">
        <is>
          <t>安否確認は、独居や医療機器を使う利用者など優先度の高い人から行う。</t>
        </is>
      </c>
      <c r="D21" s="5" t="inlineStr">
        <is>
          <t>○</t>
        </is>
      </c>
      <c r="E21" s="10" t="inlineStr"/>
    </row>
    <row r="22">
      <c r="A22" s="3" t="inlineStr">
        <is>
          <t>7月</t>
        </is>
      </c>
      <c r="B22" s="3" t="n">
        <v>4</v>
      </c>
      <c r="C22" s="10" t="inlineStr">
        <is>
          <t>災害時は職員が足りなくても、全てのサービスを通常どおり提供しなければならない。</t>
        </is>
      </c>
      <c r="D22" s="5" t="inlineStr">
        <is>
          <t>×</t>
        </is>
      </c>
      <c r="E22" s="10" t="inlineStr">
        <is>
          <t>優先業務に絞って提供する</t>
        </is>
      </c>
    </row>
    <row r="23">
      <c r="A23" s="3" t="inlineStr">
        <is>
          <t>7月</t>
        </is>
      </c>
      <c r="B23" s="3" t="n">
        <v>5</v>
      </c>
      <c r="C23" s="10" t="inlineStr">
        <is>
          <t>災害用伝言ダイヤルの番号は171である。</t>
        </is>
      </c>
      <c r="D23" s="5" t="inlineStr">
        <is>
          <t>○</t>
        </is>
      </c>
      <c r="E23" s="10" t="inlineStr"/>
    </row>
    <row r="24">
      <c r="A24" s="3" t="inlineStr">
        <is>
          <t>8月</t>
        </is>
      </c>
      <c r="B24" s="3" t="n">
        <v>1</v>
      </c>
      <c r="C24" s="10" t="inlineStr">
        <is>
          <t>ヒヤリハットは事故ではないので報告しなくてよい。</t>
        </is>
      </c>
      <c r="D24" s="5" t="inlineStr">
        <is>
          <t>×</t>
        </is>
      </c>
      <c r="E24" s="10" t="inlineStr">
        <is>
          <t>事故防止のために報告・共有する</t>
        </is>
      </c>
    </row>
    <row r="25">
      <c r="A25" s="3" t="inlineStr">
        <is>
          <t>8月</t>
        </is>
      </c>
      <c r="B25" s="3" t="n">
        <v>2</v>
      </c>
      <c r="C25" s="10" t="inlineStr">
        <is>
          <t>転倒して痛みを訴える利用者は、すぐに起こしてベッドに戻す。</t>
        </is>
      </c>
      <c r="D25" s="5" t="inlineStr">
        <is>
          <t>×</t>
        </is>
      </c>
      <c r="E25" s="10" t="inlineStr">
        <is>
          <t>無理に動かさず状態を確認し事業所に連絡する</t>
        </is>
      </c>
    </row>
    <row r="26">
      <c r="A26" s="3" t="inlineStr">
        <is>
          <t>8月</t>
        </is>
      </c>
      <c r="B26" s="3" t="n">
        <v>3</v>
      </c>
      <c r="C26" s="10" t="inlineStr">
        <is>
          <t>服薬介助では、薬を飲み込むまで見届ける。</t>
        </is>
      </c>
      <c r="D26" s="5" t="inlineStr">
        <is>
          <t>○</t>
        </is>
      </c>
      <c r="E26" s="10" t="inlineStr"/>
    </row>
    <row r="27">
      <c r="A27" s="3" t="inlineStr">
        <is>
          <t>8月</t>
        </is>
      </c>
      <c r="B27" s="3" t="n">
        <v>4</v>
      </c>
      <c r="C27" s="10" t="inlineStr">
        <is>
          <t>訪問して応答がないときは、合鍵があれば自己判断で中に入る。</t>
        </is>
      </c>
      <c r="D27" s="5" t="inlineStr">
        <is>
          <t>×</t>
        </is>
      </c>
      <c r="E27" s="10" t="inlineStr">
        <is>
          <t>事業所に連絡し指示を受ける</t>
        </is>
      </c>
    </row>
    <row r="28">
      <c r="A28" s="3" t="inlineStr">
        <is>
          <t>8月</t>
        </is>
      </c>
      <c r="B28" s="3" t="n">
        <v>5</v>
      </c>
      <c r="C28" s="10" t="inlineStr">
        <is>
          <t>事故が起きたら、事業所は家族やケアマネジャー、市町村に連絡する。</t>
        </is>
      </c>
      <c r="D28" s="5" t="inlineStr">
        <is>
          <t>○</t>
        </is>
      </c>
      <c r="E28" s="10" t="inlineStr"/>
    </row>
    <row r="29">
      <c r="A29" s="3" t="inlineStr">
        <is>
          <t>9月</t>
        </is>
      </c>
      <c r="B29" s="3" t="n">
        <v>1</v>
      </c>
      <c r="C29" s="10" t="inlineStr">
        <is>
          <t>利用者から身体を触られても、我慢して最後までサービスを行うべきである。</t>
        </is>
      </c>
      <c r="D29" s="5" t="inlineStr">
        <is>
          <t>×</t>
        </is>
      </c>
      <c r="E29" s="10" t="inlineStr">
        <is>
          <t>安全を優先し、その場を離れてよい</t>
        </is>
      </c>
    </row>
    <row r="30">
      <c r="A30" s="3" t="inlineStr">
        <is>
          <t>9月</t>
        </is>
      </c>
      <c r="B30" s="3" t="n">
        <v>2</v>
      </c>
      <c r="C30" s="10" t="inlineStr">
        <is>
          <t>ハラスメントを受けたら、日時と内容を記録して報告する。</t>
        </is>
      </c>
      <c r="D30" s="5" t="inlineStr">
        <is>
          <t>○</t>
        </is>
      </c>
      <c r="E30" s="10" t="inlineStr"/>
    </row>
    <row r="31">
      <c r="A31" s="3" t="inlineStr">
        <is>
          <t>9月</t>
        </is>
      </c>
      <c r="B31" s="3" t="n">
        <v>3</v>
      </c>
      <c r="C31" s="10" t="inlineStr">
        <is>
          <t>契約外の家事を繰り返し求められることは、不当な要求にあたりうる。</t>
        </is>
      </c>
      <c r="D31" s="5" t="inlineStr">
        <is>
          <t>○</t>
        </is>
      </c>
      <c r="E31" s="10" t="inlineStr"/>
    </row>
    <row r="32">
      <c r="A32" s="3" t="inlineStr">
        <is>
          <t>9月</t>
        </is>
      </c>
      <c r="B32" s="3" t="n">
        <v>4</v>
      </c>
      <c r="C32" s="10" t="inlineStr">
        <is>
          <t>相談したことを理由に、担当から外されたり不利益を受けることがある。</t>
        </is>
      </c>
      <c r="D32" s="5" t="inlineStr">
        <is>
          <t>×</t>
        </is>
      </c>
      <c r="E32" s="10" t="inlineStr">
        <is>
          <t>不利益な扱いは禁止されている</t>
        </is>
      </c>
    </row>
    <row r="33">
      <c r="A33" s="3" t="inlineStr">
        <is>
          <t>9月</t>
        </is>
      </c>
      <c r="B33" s="3" t="n">
        <v>5</v>
      </c>
      <c r="C33" s="10" t="inlineStr">
        <is>
          <t>事業所は、職場のハラスメントについて方針を明確にし、相談体制を整える必要がある。</t>
        </is>
      </c>
      <c r="D33" s="5" t="inlineStr">
        <is>
          <t>○</t>
        </is>
      </c>
      <c r="E33" s="10" t="inlineStr"/>
    </row>
    <row r="34">
      <c r="A34" s="3" t="inlineStr">
        <is>
          <t>10月</t>
        </is>
      </c>
      <c r="B34" s="3" t="n">
        <v>1</v>
      </c>
      <c r="C34" s="10" t="inlineStr">
        <is>
          <t>BPSDは、体調や環境、周囲の対応の影響を受けて起こる。</t>
        </is>
      </c>
      <c r="D34" s="5" t="inlineStr">
        <is>
          <t>○</t>
        </is>
      </c>
      <c r="E34" s="10" t="inlineStr"/>
    </row>
    <row r="35">
      <c r="A35" s="3" t="inlineStr">
        <is>
          <t>10月</t>
        </is>
      </c>
      <c r="B35" s="3" t="n">
        <v>2</v>
      </c>
      <c r="C35" s="10" t="inlineStr">
        <is>
          <t>もの盗られ妄想には、事実を説明して納得してもらうのが最も良い。</t>
        </is>
      </c>
      <c r="D35" s="5" t="inlineStr">
        <is>
          <t>×</t>
        </is>
      </c>
      <c r="E35" s="10" t="inlineStr">
        <is>
          <t>否定せず気持ちに寄り添う</t>
        </is>
      </c>
    </row>
    <row r="36">
      <c r="A36" s="3" t="inlineStr">
        <is>
          <t>10月</t>
        </is>
      </c>
      <c r="B36" s="3" t="n">
        <v>3</v>
      </c>
      <c r="C36" s="10" t="inlineStr">
        <is>
          <t>認知症の人に話しかけるときは、正面から目線を合わせて名乗る。</t>
        </is>
      </c>
      <c r="D36" s="5" t="inlineStr">
        <is>
          <t>○</t>
        </is>
      </c>
      <c r="E36" s="10" t="inlineStr"/>
    </row>
    <row r="37">
      <c r="A37" s="3" t="inlineStr">
        <is>
          <t>10月</t>
        </is>
      </c>
      <c r="B37" s="3" t="n">
        <v>4</v>
      </c>
      <c r="C37" s="10" t="inlineStr">
        <is>
          <t>親しみを込めて「おばあちゃん」と呼ぶのは良い接遇である。</t>
        </is>
      </c>
      <c r="D37" s="5" t="inlineStr">
        <is>
          <t>×</t>
        </is>
      </c>
      <c r="E37" s="10" t="inlineStr">
        <is>
          <t>「〇〇さん」と呼ぶ</t>
        </is>
      </c>
    </row>
    <row r="38">
      <c r="A38" s="3" t="inlineStr">
        <is>
          <t>10月</t>
        </is>
      </c>
      <c r="B38" s="3" t="n">
        <v>5</v>
      </c>
      <c r="C38" s="10" t="inlineStr">
        <is>
          <t>本人ができることは、時間がかかっても本人にしてもらう。</t>
        </is>
      </c>
      <c r="D38" s="5" t="inlineStr">
        <is>
          <t>○</t>
        </is>
      </c>
      <c r="E38" s="10" t="inlineStr"/>
    </row>
    <row r="39">
      <c r="A39" s="3" t="inlineStr">
        <is>
          <t>11月</t>
        </is>
      </c>
      <c r="B39" s="3" t="n">
        <v>1</v>
      </c>
      <c r="C39" s="10" t="inlineStr">
        <is>
          <t>感染症BCPでは、防護具や消毒液の備蓄を平時から準備しておく。</t>
        </is>
      </c>
      <c r="D39" s="5" t="inlineStr">
        <is>
          <t>○</t>
        </is>
      </c>
      <c r="E39" s="10" t="inlineStr"/>
    </row>
    <row r="40">
      <c r="A40" s="3" t="inlineStr">
        <is>
          <t>11月</t>
        </is>
      </c>
      <c r="B40" s="3" t="n">
        <v>2</v>
      </c>
      <c r="C40" s="10" t="inlineStr">
        <is>
          <t>感染疑いの利用者の訪問は、なるべく1日の最初にする。</t>
        </is>
      </c>
      <c r="D40" s="5" t="inlineStr">
        <is>
          <t>×</t>
        </is>
      </c>
      <c r="E40" s="10" t="inlineStr">
        <is>
          <t>他の利用者への感染を防ぐため最後にする</t>
        </is>
      </c>
    </row>
    <row r="41">
      <c r="A41" s="3" t="inlineStr">
        <is>
          <t>11月</t>
        </is>
      </c>
      <c r="B41" s="3" t="n">
        <v>3</v>
      </c>
      <c r="C41" s="10" t="inlineStr">
        <is>
          <t>職員が不足した場合は、ケアマネジャーと相談してサービス内容を見直すことがある。</t>
        </is>
      </c>
      <c r="D41" s="5" t="inlineStr">
        <is>
          <t>○</t>
        </is>
      </c>
      <c r="E41" s="10" t="inlineStr"/>
    </row>
    <row r="42">
      <c r="A42" s="3" t="inlineStr">
        <is>
          <t>11月</t>
        </is>
      </c>
      <c r="B42" s="3" t="n">
        <v>4</v>
      </c>
      <c r="C42" s="10" t="inlineStr">
        <is>
          <t>防護具は、最後に手袋を外す。</t>
        </is>
      </c>
      <c r="D42" s="5" t="inlineStr">
        <is>
          <t>×</t>
        </is>
      </c>
      <c r="E42" s="10" t="inlineStr">
        <is>
          <t>汚染が最も多い手袋を最初に外す</t>
        </is>
      </c>
    </row>
    <row r="43">
      <c r="A43" s="3" t="inlineStr">
        <is>
          <t>11月</t>
        </is>
      </c>
      <c r="B43" s="3" t="n">
        <v>5</v>
      </c>
      <c r="C43" s="10" t="inlineStr">
        <is>
          <t>職員が発熱したら、症状が軽くても出勤せず管理者に報告する。</t>
        </is>
      </c>
      <c r="D43" s="5" t="inlineStr">
        <is>
          <t>○</t>
        </is>
      </c>
      <c r="E43" s="10" t="inlineStr"/>
    </row>
    <row r="44">
      <c r="A44" s="3" t="inlineStr">
        <is>
          <t>12月</t>
        </is>
      </c>
      <c r="B44" s="3" t="n">
        <v>1</v>
      </c>
      <c r="C44" s="10" t="inlineStr">
        <is>
          <t>介助中に利用者の両手を押さえ続けることは、身体拘束にあたる可能性がある。</t>
        </is>
      </c>
      <c r="D44" s="5" t="inlineStr">
        <is>
          <t>○</t>
        </is>
      </c>
      <c r="E44" s="10" t="inlineStr"/>
    </row>
    <row r="45">
      <c r="A45" s="3" t="inlineStr">
        <is>
          <t>12月</t>
        </is>
      </c>
      <c r="B45" s="3" t="n">
        <v>2</v>
      </c>
      <c r="C45" s="10" t="inlineStr">
        <is>
          <t>家族による虐待が疑われるだけの段階では、報告する必要はない。</t>
        </is>
      </c>
      <c r="D45" s="5" t="inlineStr">
        <is>
          <t>×</t>
        </is>
      </c>
      <c r="E45" s="10" t="inlineStr">
        <is>
          <t>疑いの段階で報告する</t>
        </is>
      </c>
    </row>
    <row r="46">
      <c r="A46" s="3" t="inlineStr">
        <is>
          <t>12月</t>
        </is>
      </c>
      <c r="B46" s="3" t="n">
        <v>3</v>
      </c>
      <c r="C46" s="10" t="inlineStr">
        <is>
          <t>職員のストレスは、虐待の発生要因の一つである。</t>
        </is>
      </c>
      <c r="D46" s="5" t="inlineStr">
        <is>
          <t>○</t>
        </is>
      </c>
      <c r="E46" s="10" t="inlineStr"/>
    </row>
    <row r="47">
      <c r="A47" s="3" t="inlineStr">
        <is>
          <t>12月</t>
        </is>
      </c>
      <c r="B47" s="3" t="n">
        <v>4</v>
      </c>
      <c r="C47" s="10" t="inlineStr">
        <is>
          <t>介護への抵抗には理由があることが多く、チームで原因を考える。</t>
        </is>
      </c>
      <c r="D47" s="5" t="inlineStr">
        <is>
          <t>○</t>
        </is>
      </c>
      <c r="E47" s="10" t="inlineStr"/>
    </row>
    <row r="48">
      <c r="A48" s="3" t="inlineStr">
        <is>
          <t>12月</t>
        </is>
      </c>
      <c r="B48" s="3" t="n">
        <v>5</v>
      </c>
      <c r="C48" s="10" t="inlineStr">
        <is>
          <t>同僚の不適切なケアに気づいたら、管理者や虐待防止担当者に相談する。</t>
        </is>
      </c>
      <c r="D48" s="5" t="inlineStr">
        <is>
          <t>○</t>
        </is>
      </c>
      <c r="E48" s="10" t="inlineStr"/>
    </row>
    <row r="49">
      <c r="A49" s="3" t="inlineStr">
        <is>
          <t>1月</t>
        </is>
      </c>
      <c r="B49" s="3" t="n">
        <v>1</v>
      </c>
      <c r="C49" s="10" t="inlineStr">
        <is>
          <t>一包化された内服薬の服薬介助は、条件を満たせば訪問介護員が行える。</t>
        </is>
      </c>
      <c r="D49" s="5" t="inlineStr">
        <is>
          <t>○</t>
        </is>
      </c>
      <c r="E49" s="10" t="inlineStr"/>
    </row>
    <row r="50">
      <c r="A50" s="3" t="inlineStr">
        <is>
          <t>1月</t>
        </is>
      </c>
      <c r="B50" s="3" t="n">
        <v>2</v>
      </c>
      <c r="C50" s="10" t="inlineStr">
        <is>
          <t>インスリン注射は、本人に頼まれれば訪問介護員が行ってもよい。</t>
        </is>
      </c>
      <c r="D50" s="5" t="inlineStr">
        <is>
          <t>×</t>
        </is>
      </c>
      <c r="E50" s="10" t="inlineStr">
        <is>
          <t>医行為のため行えない</t>
        </is>
      </c>
    </row>
    <row r="51">
      <c r="A51" s="3" t="inlineStr">
        <is>
          <t>1月</t>
        </is>
      </c>
      <c r="B51" s="3" t="n">
        <v>3</v>
      </c>
      <c r="C51" s="10" t="inlineStr">
        <is>
          <t>爪に異常がない場合の爪切りは、医行為ではないとされている。</t>
        </is>
      </c>
      <c r="D51" s="5" t="inlineStr">
        <is>
          <t>○</t>
        </is>
      </c>
      <c r="E51" s="10" t="inlineStr"/>
    </row>
    <row r="52">
      <c r="A52" s="3" t="inlineStr">
        <is>
          <t>1月</t>
        </is>
      </c>
      <c r="B52" s="3" t="n">
        <v>4</v>
      </c>
      <c r="C52" s="10" t="inlineStr">
        <is>
          <t>血圧が普段より高かったので、薬の量を減らすよう利用者に伝えた。</t>
        </is>
      </c>
      <c r="D52" s="5" t="inlineStr">
        <is>
          <t>×</t>
        </is>
      </c>
      <c r="E52" s="10" t="inlineStr">
        <is>
          <t>判断せず報告する</t>
        </is>
      </c>
    </row>
    <row r="53">
      <c r="A53" s="3" t="inlineStr">
        <is>
          <t>1月</t>
        </is>
      </c>
      <c r="B53" s="3" t="n">
        <v>5</v>
      </c>
      <c r="C53" s="10" t="inlineStr">
        <is>
          <t>移乗介助の前には、車いすのブレーキを確認する。</t>
        </is>
      </c>
      <c r="D53" s="5" t="inlineStr">
        <is>
          <t>○</t>
        </is>
      </c>
      <c r="E53" s="10" t="inlineStr"/>
    </row>
    <row r="54">
      <c r="A54" s="3" t="inlineStr">
        <is>
          <t>2月</t>
        </is>
      </c>
      <c r="B54" s="3" t="n">
        <v>1</v>
      </c>
      <c r="C54" s="10" t="inlineStr">
        <is>
          <t>終末期で食事量が減ったときは、栄養のために全量食べてもらうよう励ます。</t>
        </is>
      </c>
      <c r="D54" s="5" t="inlineStr">
        <is>
          <t>×</t>
        </is>
      </c>
      <c r="E54" s="10" t="inlineStr">
        <is>
          <t>無理に勧めない</t>
        </is>
      </c>
    </row>
    <row r="55">
      <c r="A55" s="3" t="inlineStr">
        <is>
          <t>2月</t>
        </is>
      </c>
      <c r="B55" s="3" t="n">
        <v>2</v>
      </c>
      <c r="C55" s="10" t="inlineStr">
        <is>
          <t>眠っている利用者にも、声をかけてからケアを行う。</t>
        </is>
      </c>
      <c r="D55" s="5" t="inlineStr">
        <is>
          <t>○</t>
        </is>
      </c>
      <c r="E55" s="10" t="inlineStr"/>
    </row>
    <row r="56">
      <c r="A56" s="3" t="inlineStr">
        <is>
          <t>2月</t>
        </is>
      </c>
      <c r="B56" s="3" t="n">
        <v>3</v>
      </c>
      <c r="C56" s="10" t="inlineStr">
        <is>
          <t>看取りの方針が決まっている場合、異変時の連絡は事前の取り決めに従う。</t>
        </is>
      </c>
      <c r="D56" s="5" t="inlineStr">
        <is>
          <t>○</t>
        </is>
      </c>
      <c r="E56" s="10" t="inlineStr"/>
    </row>
    <row r="57">
      <c r="A57" s="3" t="inlineStr">
        <is>
          <t>2月</t>
        </is>
      </c>
      <c r="B57" s="3" t="n">
        <v>4</v>
      </c>
      <c r="C57" s="10" t="inlineStr">
        <is>
          <t>排泄介助では、カーテンを閉め、露出を最小限にする。</t>
        </is>
      </c>
      <c r="D57" s="5" t="inlineStr">
        <is>
          <t>○</t>
        </is>
      </c>
      <c r="E57" s="10" t="inlineStr"/>
    </row>
    <row r="58">
      <c r="A58" s="3" t="inlineStr">
        <is>
          <t>2月</t>
        </is>
      </c>
      <c r="B58" s="3" t="n">
        <v>5</v>
      </c>
      <c r="C58" s="10" t="inlineStr">
        <is>
          <t>利用者宅の郵便物は、片付けのためであれば自由に中を確認してよい。</t>
        </is>
      </c>
      <c r="D58" s="5" t="inlineStr">
        <is>
          <t>×</t>
        </is>
      </c>
      <c r="E58" s="10" t="inlineStr">
        <is>
          <t>必要なく見たり触ったりしない</t>
        </is>
      </c>
    </row>
  </sheetData>
  <pageMargins left="0.5" right="0.5" top="0.6" bottom="0.6"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M34"/>
  <sheetViews>
    <sheetView workbookViewId="0">
      <selection activeCell="A1" sqref="A1"/>
    </sheetView>
  </sheetViews>
  <sheetFormatPr baseColWidth="8" defaultRowHeight="15"/>
  <cols>
    <col width="16"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7" customWidth="1" min="12" max="12"/>
    <col width="11" customWidth="1" min="13" max="13"/>
  </cols>
  <sheetData>
    <row r="1">
      <c r="A1" s="9" t="inlineStr">
        <is>
          <t>採点表：月を選び、職員の解答（○×・アイウ）を入れると点数が自動計算されます</t>
        </is>
      </c>
    </row>
    <row r="2">
      <c r="A2" s="11" t="inlineStr">
        <is>
          <t>月</t>
        </is>
      </c>
      <c r="B2" s="12" t="inlineStr">
        <is>
          <t>4月</t>
        </is>
      </c>
    </row>
    <row r="3">
      <c r="A3" s="11" t="inlineStr">
        <is>
          <t>正解</t>
        </is>
      </c>
      <c r="B3" s="13">
        <f>INDEX(正解一覧!C$5:C$16,MATCH($B$2,正解一覧!$A$5:$A$16,0))</f>
        <v/>
      </c>
      <c r="C3" s="13">
        <f>INDEX(正解一覧!D$5:D$16,MATCH($B$2,正解一覧!$A$5:$A$16,0))</f>
        <v/>
      </c>
      <c r="D3" s="13">
        <f>INDEX(正解一覧!E$5:E$16,MATCH($B$2,正解一覧!$A$5:$A$16,0))</f>
        <v/>
      </c>
      <c r="E3" s="13">
        <f>INDEX(正解一覧!F$5:F$16,MATCH($B$2,正解一覧!$A$5:$A$16,0))</f>
        <v/>
      </c>
      <c r="F3" s="13">
        <f>INDEX(正解一覧!G$5:G$16,MATCH($B$2,正解一覧!$A$5:$A$16,0))</f>
        <v/>
      </c>
      <c r="G3" s="13">
        <f>INDEX(正解一覧!H$5:H$16,MATCH($B$2,正解一覧!$A$5:$A$16,0))</f>
        <v/>
      </c>
      <c r="H3" s="13">
        <f>INDEX(正解一覧!I$5:I$16,MATCH($B$2,正解一覧!$A$5:$A$16,0))</f>
        <v/>
      </c>
      <c r="I3" s="13">
        <f>INDEX(正解一覧!J$5:J$16,MATCH($B$2,正解一覧!$A$5:$A$16,0))</f>
        <v/>
      </c>
      <c r="J3" s="13">
        <f>INDEX(正解一覧!K$5:K$16,MATCH($B$2,正解一覧!$A$5:$A$16,0))</f>
        <v/>
      </c>
      <c r="K3" s="13">
        <f>INDEX(正解一覧!L$5:L$16,MATCH($B$2,正解一覧!$A$5:$A$16,0))</f>
        <v/>
      </c>
    </row>
    <row r="4">
      <c r="A4" s="2" t="inlineStr">
        <is>
          <t>氏名</t>
        </is>
      </c>
      <c r="B4" s="2" t="inlineStr">
        <is>
          <t>問1</t>
        </is>
      </c>
      <c r="C4" s="2" t="inlineStr">
        <is>
          <t>問2</t>
        </is>
      </c>
      <c r="D4" s="2" t="inlineStr">
        <is>
          <t>問3</t>
        </is>
      </c>
      <c r="E4" s="2" t="inlineStr">
        <is>
          <t>問4</t>
        </is>
      </c>
      <c r="F4" s="2" t="inlineStr">
        <is>
          <t>問5</t>
        </is>
      </c>
      <c r="G4" s="2" t="inlineStr">
        <is>
          <t>問6</t>
        </is>
      </c>
      <c r="H4" s="2" t="inlineStr">
        <is>
          <t>問7</t>
        </is>
      </c>
      <c r="I4" s="2" t="inlineStr">
        <is>
          <t>問8</t>
        </is>
      </c>
      <c r="J4" s="2" t="inlineStr">
        <is>
          <t>問9</t>
        </is>
      </c>
      <c r="K4" s="2" t="inlineStr">
        <is>
          <t>問10</t>
        </is>
      </c>
      <c r="L4" s="2" t="inlineStr">
        <is>
          <t>点数</t>
        </is>
      </c>
      <c r="M4" s="2" t="inlineStr">
        <is>
          <t>判定</t>
        </is>
      </c>
    </row>
    <row r="5">
      <c r="A5" s="14" t="n"/>
      <c r="B5" s="14" t="n"/>
      <c r="C5" s="14" t="n"/>
      <c r="D5" s="14" t="n"/>
      <c r="E5" s="14" t="n"/>
      <c r="F5" s="14" t="n"/>
      <c r="G5" s="14" t="n"/>
      <c r="H5" s="14" t="n"/>
      <c r="I5" s="14" t="n"/>
      <c r="J5" s="14" t="n"/>
      <c r="K5" s="14" t="n"/>
      <c r="L5" s="3">
        <f>IF(COUNTA(B5:K5)=0,"",SUMPRODUCT(--(B5:K5=$B$3:$K$3)))</f>
        <v/>
      </c>
      <c r="M5" s="3">
        <f>IF(L5="","",IF(L5&gt;=7,"合格","要フォロー"))</f>
        <v/>
      </c>
    </row>
    <row r="6">
      <c r="A6" s="14" t="n"/>
      <c r="B6" s="14" t="n"/>
      <c r="C6" s="14" t="n"/>
      <c r="D6" s="14" t="n"/>
      <c r="E6" s="14" t="n"/>
      <c r="F6" s="14" t="n"/>
      <c r="G6" s="14" t="n"/>
      <c r="H6" s="14" t="n"/>
      <c r="I6" s="14" t="n"/>
      <c r="J6" s="14" t="n"/>
      <c r="K6" s="14" t="n"/>
      <c r="L6" s="3">
        <f>IF(COUNTA(B6:K6)=0,"",SUMPRODUCT(--(B6:K6=$B$3:$K$3)))</f>
        <v/>
      </c>
      <c r="M6" s="3">
        <f>IF(L6="","",IF(L6&gt;=7,"合格","要フォロー"))</f>
        <v/>
      </c>
    </row>
    <row r="7">
      <c r="A7" s="14" t="n"/>
      <c r="B7" s="14" t="n"/>
      <c r="C7" s="14" t="n"/>
      <c r="D7" s="14" t="n"/>
      <c r="E7" s="14" t="n"/>
      <c r="F7" s="14" t="n"/>
      <c r="G7" s="14" t="n"/>
      <c r="H7" s="14" t="n"/>
      <c r="I7" s="14" t="n"/>
      <c r="J7" s="14" t="n"/>
      <c r="K7" s="14" t="n"/>
      <c r="L7" s="3">
        <f>IF(COUNTA(B7:K7)=0,"",SUMPRODUCT(--(B7:K7=$B$3:$K$3)))</f>
        <v/>
      </c>
      <c r="M7" s="3">
        <f>IF(L7="","",IF(L7&gt;=7,"合格","要フォロー"))</f>
        <v/>
      </c>
    </row>
    <row r="8">
      <c r="A8" s="14" t="n"/>
      <c r="B8" s="14" t="n"/>
      <c r="C8" s="14" t="n"/>
      <c r="D8" s="14" t="n"/>
      <c r="E8" s="14" t="n"/>
      <c r="F8" s="14" t="n"/>
      <c r="G8" s="14" t="n"/>
      <c r="H8" s="14" t="n"/>
      <c r="I8" s="14" t="n"/>
      <c r="J8" s="14" t="n"/>
      <c r="K8" s="14" t="n"/>
      <c r="L8" s="3">
        <f>IF(COUNTA(B8:K8)=0,"",SUMPRODUCT(--(B8:K8=$B$3:$K$3)))</f>
        <v/>
      </c>
      <c r="M8" s="3">
        <f>IF(L8="","",IF(L8&gt;=7,"合格","要フォロー"))</f>
        <v/>
      </c>
    </row>
    <row r="9">
      <c r="A9" s="14" t="n"/>
      <c r="B9" s="14" t="n"/>
      <c r="C9" s="14" t="n"/>
      <c r="D9" s="14" t="n"/>
      <c r="E9" s="14" t="n"/>
      <c r="F9" s="14" t="n"/>
      <c r="G9" s="14" t="n"/>
      <c r="H9" s="14" t="n"/>
      <c r="I9" s="14" t="n"/>
      <c r="J9" s="14" t="n"/>
      <c r="K9" s="14" t="n"/>
      <c r="L9" s="3">
        <f>IF(COUNTA(B9:K9)=0,"",SUMPRODUCT(--(B9:K9=$B$3:$K$3)))</f>
        <v/>
      </c>
      <c r="M9" s="3">
        <f>IF(L9="","",IF(L9&gt;=7,"合格","要フォロー"))</f>
        <v/>
      </c>
    </row>
    <row r="10">
      <c r="A10" s="14" t="n"/>
      <c r="B10" s="14" t="n"/>
      <c r="C10" s="14" t="n"/>
      <c r="D10" s="14" t="n"/>
      <c r="E10" s="14" t="n"/>
      <c r="F10" s="14" t="n"/>
      <c r="G10" s="14" t="n"/>
      <c r="H10" s="14" t="n"/>
      <c r="I10" s="14" t="n"/>
      <c r="J10" s="14" t="n"/>
      <c r="K10" s="14" t="n"/>
      <c r="L10" s="3">
        <f>IF(COUNTA(B10:K10)=0,"",SUMPRODUCT(--(B10:K10=$B$3:$K$3)))</f>
        <v/>
      </c>
      <c r="M10" s="3">
        <f>IF(L10="","",IF(L10&gt;=7,"合格","要フォロー"))</f>
        <v/>
      </c>
    </row>
    <row r="11">
      <c r="A11" s="14" t="n"/>
      <c r="B11" s="14" t="n"/>
      <c r="C11" s="14" t="n"/>
      <c r="D11" s="14" t="n"/>
      <c r="E11" s="14" t="n"/>
      <c r="F11" s="14" t="n"/>
      <c r="G11" s="14" t="n"/>
      <c r="H11" s="14" t="n"/>
      <c r="I11" s="14" t="n"/>
      <c r="J11" s="14" t="n"/>
      <c r="K11" s="14" t="n"/>
      <c r="L11" s="3">
        <f>IF(COUNTA(B11:K11)=0,"",SUMPRODUCT(--(B11:K11=$B$3:$K$3)))</f>
        <v/>
      </c>
      <c r="M11" s="3">
        <f>IF(L11="","",IF(L11&gt;=7,"合格","要フォロー"))</f>
        <v/>
      </c>
    </row>
    <row r="12">
      <c r="A12" s="14" t="n"/>
      <c r="B12" s="14" t="n"/>
      <c r="C12" s="14" t="n"/>
      <c r="D12" s="14" t="n"/>
      <c r="E12" s="14" t="n"/>
      <c r="F12" s="14" t="n"/>
      <c r="G12" s="14" t="n"/>
      <c r="H12" s="14" t="n"/>
      <c r="I12" s="14" t="n"/>
      <c r="J12" s="14" t="n"/>
      <c r="K12" s="14" t="n"/>
      <c r="L12" s="3">
        <f>IF(COUNTA(B12:K12)=0,"",SUMPRODUCT(--(B12:K12=$B$3:$K$3)))</f>
        <v/>
      </c>
      <c r="M12" s="3">
        <f>IF(L12="","",IF(L12&gt;=7,"合格","要フォロー"))</f>
        <v/>
      </c>
    </row>
    <row r="13">
      <c r="A13" s="14" t="n"/>
      <c r="B13" s="14" t="n"/>
      <c r="C13" s="14" t="n"/>
      <c r="D13" s="14" t="n"/>
      <c r="E13" s="14" t="n"/>
      <c r="F13" s="14" t="n"/>
      <c r="G13" s="14" t="n"/>
      <c r="H13" s="14" t="n"/>
      <c r="I13" s="14" t="n"/>
      <c r="J13" s="14" t="n"/>
      <c r="K13" s="14" t="n"/>
      <c r="L13" s="3">
        <f>IF(COUNTA(B13:K13)=0,"",SUMPRODUCT(--(B13:K13=$B$3:$K$3)))</f>
        <v/>
      </c>
      <c r="M13" s="3">
        <f>IF(L13="","",IF(L13&gt;=7,"合格","要フォロー"))</f>
        <v/>
      </c>
    </row>
    <row r="14">
      <c r="A14" s="14" t="n"/>
      <c r="B14" s="14" t="n"/>
      <c r="C14" s="14" t="n"/>
      <c r="D14" s="14" t="n"/>
      <c r="E14" s="14" t="n"/>
      <c r="F14" s="14" t="n"/>
      <c r="G14" s="14" t="n"/>
      <c r="H14" s="14" t="n"/>
      <c r="I14" s="14" t="n"/>
      <c r="J14" s="14" t="n"/>
      <c r="K14" s="14" t="n"/>
      <c r="L14" s="3">
        <f>IF(COUNTA(B14:K14)=0,"",SUMPRODUCT(--(B14:K14=$B$3:$K$3)))</f>
        <v/>
      </c>
      <c r="M14" s="3">
        <f>IF(L14="","",IF(L14&gt;=7,"合格","要フォロー"))</f>
        <v/>
      </c>
    </row>
    <row r="15">
      <c r="A15" s="14" t="n"/>
      <c r="B15" s="14" t="n"/>
      <c r="C15" s="14" t="n"/>
      <c r="D15" s="14" t="n"/>
      <c r="E15" s="14" t="n"/>
      <c r="F15" s="14" t="n"/>
      <c r="G15" s="14" t="n"/>
      <c r="H15" s="14" t="n"/>
      <c r="I15" s="14" t="n"/>
      <c r="J15" s="14" t="n"/>
      <c r="K15" s="14" t="n"/>
      <c r="L15" s="3">
        <f>IF(COUNTA(B15:K15)=0,"",SUMPRODUCT(--(B15:K15=$B$3:$K$3)))</f>
        <v/>
      </c>
      <c r="M15" s="3">
        <f>IF(L15="","",IF(L15&gt;=7,"合格","要フォロー"))</f>
        <v/>
      </c>
    </row>
    <row r="16">
      <c r="A16" s="14" t="n"/>
      <c r="B16" s="14" t="n"/>
      <c r="C16" s="14" t="n"/>
      <c r="D16" s="14" t="n"/>
      <c r="E16" s="14" t="n"/>
      <c r="F16" s="14" t="n"/>
      <c r="G16" s="14" t="n"/>
      <c r="H16" s="14" t="n"/>
      <c r="I16" s="14" t="n"/>
      <c r="J16" s="14" t="n"/>
      <c r="K16" s="14" t="n"/>
      <c r="L16" s="3">
        <f>IF(COUNTA(B16:K16)=0,"",SUMPRODUCT(--(B16:K16=$B$3:$K$3)))</f>
        <v/>
      </c>
      <c r="M16" s="3">
        <f>IF(L16="","",IF(L16&gt;=7,"合格","要フォロー"))</f>
        <v/>
      </c>
    </row>
    <row r="17">
      <c r="A17" s="14" t="n"/>
      <c r="B17" s="14" t="n"/>
      <c r="C17" s="14" t="n"/>
      <c r="D17" s="14" t="n"/>
      <c r="E17" s="14" t="n"/>
      <c r="F17" s="14" t="n"/>
      <c r="G17" s="14" t="n"/>
      <c r="H17" s="14" t="n"/>
      <c r="I17" s="14" t="n"/>
      <c r="J17" s="14" t="n"/>
      <c r="K17" s="14" t="n"/>
      <c r="L17" s="3">
        <f>IF(COUNTA(B17:K17)=0,"",SUMPRODUCT(--(B17:K17=$B$3:$K$3)))</f>
        <v/>
      </c>
      <c r="M17" s="3">
        <f>IF(L17="","",IF(L17&gt;=7,"合格","要フォロー"))</f>
        <v/>
      </c>
    </row>
    <row r="18">
      <c r="A18" s="14" t="n"/>
      <c r="B18" s="14" t="n"/>
      <c r="C18" s="14" t="n"/>
      <c r="D18" s="14" t="n"/>
      <c r="E18" s="14" t="n"/>
      <c r="F18" s="14" t="n"/>
      <c r="G18" s="14" t="n"/>
      <c r="H18" s="14" t="n"/>
      <c r="I18" s="14" t="n"/>
      <c r="J18" s="14" t="n"/>
      <c r="K18" s="14" t="n"/>
      <c r="L18" s="3">
        <f>IF(COUNTA(B18:K18)=0,"",SUMPRODUCT(--(B18:K18=$B$3:$K$3)))</f>
        <v/>
      </c>
      <c r="M18" s="3">
        <f>IF(L18="","",IF(L18&gt;=7,"合格","要フォロー"))</f>
        <v/>
      </c>
    </row>
    <row r="19">
      <c r="A19" s="14" t="n"/>
      <c r="B19" s="14" t="n"/>
      <c r="C19" s="14" t="n"/>
      <c r="D19" s="14" t="n"/>
      <c r="E19" s="14" t="n"/>
      <c r="F19" s="14" t="n"/>
      <c r="G19" s="14" t="n"/>
      <c r="H19" s="14" t="n"/>
      <c r="I19" s="14" t="n"/>
      <c r="J19" s="14" t="n"/>
      <c r="K19" s="14" t="n"/>
      <c r="L19" s="3">
        <f>IF(COUNTA(B19:K19)=0,"",SUMPRODUCT(--(B19:K19=$B$3:$K$3)))</f>
        <v/>
      </c>
      <c r="M19" s="3">
        <f>IF(L19="","",IF(L19&gt;=7,"合格","要フォロー"))</f>
        <v/>
      </c>
    </row>
    <row r="20">
      <c r="A20" s="14" t="n"/>
      <c r="B20" s="14" t="n"/>
      <c r="C20" s="14" t="n"/>
      <c r="D20" s="14" t="n"/>
      <c r="E20" s="14" t="n"/>
      <c r="F20" s="14" t="n"/>
      <c r="G20" s="14" t="n"/>
      <c r="H20" s="14" t="n"/>
      <c r="I20" s="14" t="n"/>
      <c r="J20" s="14" t="n"/>
      <c r="K20" s="14" t="n"/>
      <c r="L20" s="3">
        <f>IF(COUNTA(B20:K20)=0,"",SUMPRODUCT(--(B20:K20=$B$3:$K$3)))</f>
        <v/>
      </c>
      <c r="M20" s="3">
        <f>IF(L20="","",IF(L20&gt;=7,"合格","要フォロー"))</f>
        <v/>
      </c>
    </row>
    <row r="21">
      <c r="A21" s="14" t="n"/>
      <c r="B21" s="14" t="n"/>
      <c r="C21" s="14" t="n"/>
      <c r="D21" s="14" t="n"/>
      <c r="E21" s="14" t="n"/>
      <c r="F21" s="14" t="n"/>
      <c r="G21" s="14" t="n"/>
      <c r="H21" s="14" t="n"/>
      <c r="I21" s="14" t="n"/>
      <c r="J21" s="14" t="n"/>
      <c r="K21" s="14" t="n"/>
      <c r="L21" s="3">
        <f>IF(COUNTA(B21:K21)=0,"",SUMPRODUCT(--(B21:K21=$B$3:$K$3)))</f>
        <v/>
      </c>
      <c r="M21" s="3">
        <f>IF(L21="","",IF(L21&gt;=7,"合格","要フォロー"))</f>
        <v/>
      </c>
    </row>
    <row r="22">
      <c r="A22" s="14" t="n"/>
      <c r="B22" s="14" t="n"/>
      <c r="C22" s="14" t="n"/>
      <c r="D22" s="14" t="n"/>
      <c r="E22" s="14" t="n"/>
      <c r="F22" s="14" t="n"/>
      <c r="G22" s="14" t="n"/>
      <c r="H22" s="14" t="n"/>
      <c r="I22" s="14" t="n"/>
      <c r="J22" s="14" t="n"/>
      <c r="K22" s="14" t="n"/>
      <c r="L22" s="3">
        <f>IF(COUNTA(B22:K22)=0,"",SUMPRODUCT(--(B22:K22=$B$3:$K$3)))</f>
        <v/>
      </c>
      <c r="M22" s="3">
        <f>IF(L22="","",IF(L22&gt;=7,"合格","要フォロー"))</f>
        <v/>
      </c>
    </row>
    <row r="23">
      <c r="A23" s="14" t="n"/>
      <c r="B23" s="14" t="n"/>
      <c r="C23" s="14" t="n"/>
      <c r="D23" s="14" t="n"/>
      <c r="E23" s="14" t="n"/>
      <c r="F23" s="14" t="n"/>
      <c r="G23" s="14" t="n"/>
      <c r="H23" s="14" t="n"/>
      <c r="I23" s="14" t="n"/>
      <c r="J23" s="14" t="n"/>
      <c r="K23" s="14" t="n"/>
      <c r="L23" s="3">
        <f>IF(COUNTA(B23:K23)=0,"",SUMPRODUCT(--(B23:K23=$B$3:$K$3)))</f>
        <v/>
      </c>
      <c r="M23" s="3">
        <f>IF(L23="","",IF(L23&gt;=7,"合格","要フォロー"))</f>
        <v/>
      </c>
    </row>
    <row r="24">
      <c r="A24" s="14" t="n"/>
      <c r="B24" s="14" t="n"/>
      <c r="C24" s="14" t="n"/>
      <c r="D24" s="14" t="n"/>
      <c r="E24" s="14" t="n"/>
      <c r="F24" s="14" t="n"/>
      <c r="G24" s="14" t="n"/>
      <c r="H24" s="14" t="n"/>
      <c r="I24" s="14" t="n"/>
      <c r="J24" s="14" t="n"/>
      <c r="K24" s="14" t="n"/>
      <c r="L24" s="3">
        <f>IF(COUNTA(B24:K24)=0,"",SUMPRODUCT(--(B24:K24=$B$3:$K$3)))</f>
        <v/>
      </c>
      <c r="M24" s="3">
        <f>IF(L24="","",IF(L24&gt;=7,"合格","要フォロー"))</f>
        <v/>
      </c>
    </row>
    <row r="25">
      <c r="A25" s="14" t="n"/>
      <c r="B25" s="14" t="n"/>
      <c r="C25" s="14" t="n"/>
      <c r="D25" s="14" t="n"/>
      <c r="E25" s="14" t="n"/>
      <c r="F25" s="14" t="n"/>
      <c r="G25" s="14" t="n"/>
      <c r="H25" s="14" t="n"/>
      <c r="I25" s="14" t="n"/>
      <c r="J25" s="14" t="n"/>
      <c r="K25" s="14" t="n"/>
      <c r="L25" s="3">
        <f>IF(COUNTA(B25:K25)=0,"",SUMPRODUCT(--(B25:K25=$B$3:$K$3)))</f>
        <v/>
      </c>
      <c r="M25" s="3">
        <f>IF(L25="","",IF(L25&gt;=7,"合格","要フォロー"))</f>
        <v/>
      </c>
    </row>
    <row r="26">
      <c r="A26" s="14" t="n"/>
      <c r="B26" s="14" t="n"/>
      <c r="C26" s="14" t="n"/>
      <c r="D26" s="14" t="n"/>
      <c r="E26" s="14" t="n"/>
      <c r="F26" s="14" t="n"/>
      <c r="G26" s="14" t="n"/>
      <c r="H26" s="14" t="n"/>
      <c r="I26" s="14" t="n"/>
      <c r="J26" s="14" t="n"/>
      <c r="K26" s="14" t="n"/>
      <c r="L26" s="3">
        <f>IF(COUNTA(B26:K26)=0,"",SUMPRODUCT(--(B26:K26=$B$3:$K$3)))</f>
        <v/>
      </c>
      <c r="M26" s="3">
        <f>IF(L26="","",IF(L26&gt;=7,"合格","要フォロー"))</f>
        <v/>
      </c>
    </row>
    <row r="27">
      <c r="A27" s="14" t="n"/>
      <c r="B27" s="14" t="n"/>
      <c r="C27" s="14" t="n"/>
      <c r="D27" s="14" t="n"/>
      <c r="E27" s="14" t="n"/>
      <c r="F27" s="14" t="n"/>
      <c r="G27" s="14" t="n"/>
      <c r="H27" s="14" t="n"/>
      <c r="I27" s="14" t="n"/>
      <c r="J27" s="14" t="n"/>
      <c r="K27" s="14" t="n"/>
      <c r="L27" s="3">
        <f>IF(COUNTA(B27:K27)=0,"",SUMPRODUCT(--(B27:K27=$B$3:$K$3)))</f>
        <v/>
      </c>
      <c r="M27" s="3">
        <f>IF(L27="","",IF(L27&gt;=7,"合格","要フォロー"))</f>
        <v/>
      </c>
    </row>
    <row r="28">
      <c r="A28" s="14" t="n"/>
      <c r="B28" s="14" t="n"/>
      <c r="C28" s="14" t="n"/>
      <c r="D28" s="14" t="n"/>
      <c r="E28" s="14" t="n"/>
      <c r="F28" s="14" t="n"/>
      <c r="G28" s="14" t="n"/>
      <c r="H28" s="14" t="n"/>
      <c r="I28" s="14" t="n"/>
      <c r="J28" s="14" t="n"/>
      <c r="K28" s="14" t="n"/>
      <c r="L28" s="3">
        <f>IF(COUNTA(B28:K28)=0,"",SUMPRODUCT(--(B28:K28=$B$3:$K$3)))</f>
        <v/>
      </c>
      <c r="M28" s="3">
        <f>IF(L28="","",IF(L28&gt;=7,"合格","要フォロー"))</f>
        <v/>
      </c>
    </row>
    <row r="29">
      <c r="A29" s="14" t="n"/>
      <c r="B29" s="14" t="n"/>
      <c r="C29" s="14" t="n"/>
      <c r="D29" s="14" t="n"/>
      <c r="E29" s="14" t="n"/>
      <c r="F29" s="14" t="n"/>
      <c r="G29" s="14" t="n"/>
      <c r="H29" s="14" t="n"/>
      <c r="I29" s="14" t="n"/>
      <c r="J29" s="14" t="n"/>
      <c r="K29" s="14" t="n"/>
      <c r="L29" s="3">
        <f>IF(COUNTA(B29:K29)=0,"",SUMPRODUCT(--(B29:K29=$B$3:$K$3)))</f>
        <v/>
      </c>
      <c r="M29" s="3">
        <f>IF(L29="","",IF(L29&gt;=7,"合格","要フォロー"))</f>
        <v/>
      </c>
    </row>
    <row r="30">
      <c r="A30" s="14" t="n"/>
      <c r="B30" s="14" t="n"/>
      <c r="C30" s="14" t="n"/>
      <c r="D30" s="14" t="n"/>
      <c r="E30" s="14" t="n"/>
      <c r="F30" s="14" t="n"/>
      <c r="G30" s="14" t="n"/>
      <c r="H30" s="14" t="n"/>
      <c r="I30" s="14" t="n"/>
      <c r="J30" s="14" t="n"/>
      <c r="K30" s="14" t="n"/>
      <c r="L30" s="3">
        <f>IF(COUNTA(B30:K30)=0,"",SUMPRODUCT(--(B30:K30=$B$3:$K$3)))</f>
        <v/>
      </c>
      <c r="M30" s="3">
        <f>IF(L30="","",IF(L30&gt;=7,"合格","要フォロー"))</f>
        <v/>
      </c>
    </row>
    <row r="31">
      <c r="A31" s="14" t="n"/>
      <c r="B31" s="14" t="n"/>
      <c r="C31" s="14" t="n"/>
      <c r="D31" s="14" t="n"/>
      <c r="E31" s="14" t="n"/>
      <c r="F31" s="14" t="n"/>
      <c r="G31" s="14" t="n"/>
      <c r="H31" s="14" t="n"/>
      <c r="I31" s="14" t="n"/>
      <c r="J31" s="14" t="n"/>
      <c r="K31" s="14" t="n"/>
      <c r="L31" s="3">
        <f>IF(COUNTA(B31:K31)=0,"",SUMPRODUCT(--(B31:K31=$B$3:$K$3)))</f>
        <v/>
      </c>
      <c r="M31" s="3">
        <f>IF(L31="","",IF(L31&gt;=7,"合格","要フォロー"))</f>
        <v/>
      </c>
    </row>
    <row r="32">
      <c r="A32" s="14" t="n"/>
      <c r="B32" s="14" t="n"/>
      <c r="C32" s="14" t="n"/>
      <c r="D32" s="14" t="n"/>
      <c r="E32" s="14" t="n"/>
      <c r="F32" s="14" t="n"/>
      <c r="G32" s="14" t="n"/>
      <c r="H32" s="14" t="n"/>
      <c r="I32" s="14" t="n"/>
      <c r="J32" s="14" t="n"/>
      <c r="K32" s="14" t="n"/>
      <c r="L32" s="3">
        <f>IF(COUNTA(B32:K32)=0,"",SUMPRODUCT(--(B32:K32=$B$3:$K$3)))</f>
        <v/>
      </c>
      <c r="M32" s="3">
        <f>IF(L32="","",IF(L32&gt;=7,"合格","要フォロー"))</f>
        <v/>
      </c>
    </row>
    <row r="33">
      <c r="A33" s="14" t="n"/>
      <c r="B33" s="14" t="n"/>
      <c r="C33" s="14" t="n"/>
      <c r="D33" s="14" t="n"/>
      <c r="E33" s="14" t="n"/>
      <c r="F33" s="14" t="n"/>
      <c r="G33" s="14" t="n"/>
      <c r="H33" s="14" t="n"/>
      <c r="I33" s="14" t="n"/>
      <c r="J33" s="14" t="n"/>
      <c r="K33" s="14" t="n"/>
      <c r="L33" s="3">
        <f>IF(COUNTA(B33:K33)=0,"",SUMPRODUCT(--(B33:K33=$B$3:$K$3)))</f>
        <v/>
      </c>
      <c r="M33" s="3">
        <f>IF(L33="","",IF(L33&gt;=7,"合格","要フォロー"))</f>
        <v/>
      </c>
    </row>
    <row r="34">
      <c r="A34" s="14" t="n"/>
      <c r="B34" s="14" t="n"/>
      <c r="C34" s="14" t="n"/>
      <c r="D34" s="14" t="n"/>
      <c r="E34" s="14" t="n"/>
      <c r="F34" s="14" t="n"/>
      <c r="G34" s="14" t="n"/>
      <c r="H34" s="14" t="n"/>
      <c r="I34" s="14" t="n"/>
      <c r="J34" s="14" t="n"/>
      <c r="K34" s="14" t="n"/>
      <c r="L34" s="3">
        <f>IF(COUNTA(B34:K34)=0,"",SUMPRODUCT(--(B34:K34=$B$3:$K$3)))</f>
        <v/>
      </c>
      <c r="M34" s="3">
        <f>IF(L34="","",IF(L34&gt;=7,"合格","要フォロー"))</f>
        <v/>
      </c>
    </row>
  </sheetData>
  <dataValidations count="1">
    <dataValidation sqref="B2" showDropDown="0" showInputMessage="0" showErrorMessage="0" allowBlank="0" type="list">
      <formula1>"4月,5月,6月,7月,8月,9月,10月,11月,12月,1月,2月,3月"</formula1>
    </dataValidation>
  </dataValidations>
  <pageMargins left="0.5" right="0.5" top="0.6" bottom="0.6"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2026-10-21T12:50:01Z</dcterms:created>
  <dcterms:modified xmlns:dcterms="http://purl.org/dc/terms/" xmlns:xsi="http://www.w3.org/2001/XMLSchema-instance" xsi:type="dcterms:W3CDTF">2026-10-21T12:50:01Z</dcterms:modified>
</cp:coreProperties>
</file>